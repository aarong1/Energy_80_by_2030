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ople.ey.com/personal/minoo_ashoori_ie_ey_com/Documents/Desktop/SIB/whole_picture_2/data/"/>
    </mc:Choice>
  </mc:AlternateContent>
  <xr:revisionPtr revIDLastSave="340" documentId="8_{9BAEE778-95C0-4FC3-8C1F-75F0B4E9362D}" xr6:coauthVersionLast="47" xr6:coauthVersionMax="47" xr10:uidLastSave="{84B6BCDE-9D86-43E1-A514-64A1B484FA4F}"/>
  <bookViews>
    <workbookView xWindow="-110" yWindow="-110" windowWidth="19420" windowHeight="11500" activeTab="5" xr2:uid="{83ACEBD2-7A49-4900-9217-34DAFC24AD63}"/>
  </bookViews>
  <sheets>
    <sheet name="all" sheetId="1" r:id="rId1"/>
    <sheet name="last3" sheetId="2" r:id="rId2"/>
    <sheet name="all_2" sheetId="3" r:id="rId3"/>
    <sheet name="last3_2" sheetId="4" r:id="rId4"/>
    <sheet name="all_3" sheetId="5" r:id="rId5"/>
    <sheet name="last3_3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6" l="1"/>
  <c r="I3" i="6"/>
  <c r="G11" i="6"/>
  <c r="G9" i="6"/>
  <c r="G7" i="6"/>
  <c r="G5" i="6"/>
  <c r="G3" i="6"/>
  <c r="E11" i="6"/>
  <c r="E9" i="6"/>
  <c r="E5" i="6"/>
  <c r="E2" i="6"/>
  <c r="I11" i="6"/>
  <c r="F11" i="6"/>
  <c r="I10" i="6"/>
  <c r="F10" i="6"/>
  <c r="E10" i="6"/>
  <c r="I9" i="6"/>
  <c r="F9" i="6"/>
  <c r="I8" i="6"/>
  <c r="F8" i="6"/>
  <c r="E8" i="6"/>
  <c r="I7" i="6"/>
  <c r="F7" i="6"/>
  <c r="E7" i="6"/>
  <c r="I6" i="6"/>
  <c r="F6" i="6"/>
  <c r="E6" i="6"/>
  <c r="F5" i="6"/>
  <c r="I4" i="6"/>
  <c r="F4" i="6"/>
  <c r="E4" i="6"/>
  <c r="F3" i="6"/>
  <c r="E3" i="6"/>
  <c r="G5" i="5"/>
  <c r="G4" i="5"/>
  <c r="G3" i="5"/>
  <c r="E11" i="5"/>
  <c r="E7" i="5"/>
  <c r="E3" i="5"/>
  <c r="E2" i="5"/>
  <c r="F3" i="5"/>
  <c r="I11" i="5"/>
  <c r="F11" i="5"/>
  <c r="I10" i="5"/>
  <c r="F10" i="5"/>
  <c r="E10" i="5"/>
  <c r="I9" i="5"/>
  <c r="F9" i="5"/>
  <c r="E9" i="5"/>
  <c r="I8" i="5"/>
  <c r="F8" i="5"/>
  <c r="E8" i="5"/>
  <c r="I7" i="5"/>
  <c r="F7" i="5"/>
  <c r="I6" i="5"/>
  <c r="F6" i="5"/>
  <c r="E6" i="5"/>
  <c r="I5" i="5"/>
  <c r="F5" i="5"/>
  <c r="E5" i="5"/>
  <c r="I4" i="5"/>
  <c r="F4" i="5"/>
  <c r="E4" i="5"/>
  <c r="I3" i="5"/>
  <c r="I4" i="2"/>
  <c r="I5" i="2"/>
  <c r="I6" i="2"/>
  <c r="I7" i="2"/>
  <c r="I8" i="2"/>
  <c r="I9" i="2"/>
  <c r="I10" i="2"/>
  <c r="I11" i="2"/>
  <c r="I9" i="1"/>
  <c r="I4" i="1"/>
  <c r="I5" i="1"/>
  <c r="I6" i="1"/>
  <c r="I7" i="1"/>
  <c r="I8" i="1"/>
  <c r="I10" i="1"/>
  <c r="I11" i="1"/>
  <c r="I3" i="1"/>
  <c r="I3" i="2"/>
  <c r="I4" i="4"/>
  <c r="I5" i="4"/>
  <c r="I6" i="4"/>
  <c r="I7" i="4"/>
  <c r="I8" i="4"/>
  <c r="I9" i="4"/>
  <c r="I10" i="4"/>
  <c r="I11" i="4"/>
  <c r="I3" i="4"/>
  <c r="I5" i="3"/>
  <c r="I4" i="3"/>
  <c r="I6" i="3"/>
  <c r="I7" i="3"/>
  <c r="I8" i="3"/>
  <c r="I9" i="3"/>
  <c r="I10" i="3"/>
  <c r="I11" i="3"/>
  <c r="I3" i="3"/>
  <c r="G9" i="3"/>
  <c r="G10" i="3"/>
  <c r="F4" i="3"/>
  <c r="F5" i="3"/>
  <c r="F6" i="3"/>
  <c r="F7" i="3"/>
  <c r="F8" i="3"/>
  <c r="F9" i="3"/>
  <c r="F10" i="3"/>
  <c r="F11" i="3"/>
  <c r="F3" i="3"/>
  <c r="E3" i="3"/>
  <c r="G3" i="3" s="1"/>
  <c r="E4" i="3"/>
  <c r="G4" i="3" s="1"/>
  <c r="E5" i="3"/>
  <c r="G5" i="3" s="1"/>
  <c r="E6" i="3"/>
  <c r="G6" i="3" s="1"/>
  <c r="E7" i="3"/>
  <c r="E8" i="3"/>
  <c r="E9" i="3"/>
  <c r="E10" i="3"/>
  <c r="E11" i="3"/>
  <c r="G11" i="3" s="1"/>
  <c r="E2" i="3"/>
  <c r="G7" i="3" s="1"/>
  <c r="G4" i="4"/>
  <c r="G5" i="4"/>
  <c r="G6" i="4"/>
  <c r="G7" i="4"/>
  <c r="G8" i="4"/>
  <c r="G9" i="4"/>
  <c r="G10" i="4"/>
  <c r="G11" i="4"/>
  <c r="G3" i="4"/>
  <c r="F4" i="4"/>
  <c r="F5" i="4"/>
  <c r="F6" i="4"/>
  <c r="F7" i="4"/>
  <c r="F8" i="4"/>
  <c r="F9" i="4"/>
  <c r="F10" i="4"/>
  <c r="F11" i="4"/>
  <c r="F3" i="4"/>
  <c r="E3" i="4"/>
  <c r="E4" i="4"/>
  <c r="E5" i="4"/>
  <c r="E6" i="4"/>
  <c r="E7" i="4"/>
  <c r="E8" i="4"/>
  <c r="E9" i="4"/>
  <c r="E10" i="4"/>
  <c r="E11" i="4"/>
  <c r="E2" i="4"/>
  <c r="G4" i="2"/>
  <c r="G6" i="2"/>
  <c r="G7" i="2"/>
  <c r="G8" i="2"/>
  <c r="G9" i="2"/>
  <c r="G10" i="2"/>
  <c r="G3" i="2"/>
  <c r="F4" i="2"/>
  <c r="F5" i="2"/>
  <c r="F6" i="2"/>
  <c r="F7" i="2"/>
  <c r="F8" i="2"/>
  <c r="F9" i="2"/>
  <c r="F10" i="2"/>
  <c r="F11" i="2"/>
  <c r="F3" i="2"/>
  <c r="E11" i="2"/>
  <c r="G11" i="2" s="1"/>
  <c r="E3" i="2"/>
  <c r="E4" i="2"/>
  <c r="E5" i="2"/>
  <c r="G5" i="2" s="1"/>
  <c r="E6" i="2"/>
  <c r="E7" i="2"/>
  <c r="E8" i="2"/>
  <c r="E9" i="2"/>
  <c r="E10" i="2"/>
  <c r="E2" i="2"/>
  <c r="F11" i="1"/>
  <c r="F9" i="1"/>
  <c r="F8" i="1"/>
  <c r="F7" i="1"/>
  <c r="F5" i="1"/>
  <c r="F4" i="1"/>
  <c r="F6" i="1"/>
  <c r="F10" i="1"/>
  <c r="F3" i="1"/>
  <c r="E3" i="1"/>
  <c r="G3" i="1" s="1"/>
  <c r="E4" i="1"/>
  <c r="G4" i="1" s="1"/>
  <c r="E5" i="1"/>
  <c r="G5" i="1" s="1"/>
  <c r="E6" i="1"/>
  <c r="G6" i="1" s="1"/>
  <c r="E7" i="1"/>
  <c r="G7" i="1" s="1"/>
  <c r="E8" i="1"/>
  <c r="G8" i="1" s="1"/>
  <c r="E9" i="1"/>
  <c r="G9" i="1" s="1"/>
  <c r="E10" i="1"/>
  <c r="G10" i="1" s="1"/>
  <c r="E11" i="1"/>
  <c r="G11" i="1" s="1"/>
  <c r="E2" i="1"/>
  <c r="G8" i="6" l="1"/>
  <c r="G4" i="6"/>
  <c r="G7" i="5"/>
  <c r="G9" i="5"/>
  <c r="G8" i="5"/>
  <c r="G11" i="5"/>
  <c r="G8" i="3"/>
</calcChain>
</file>

<file path=xl/sharedStrings.xml><?xml version="1.0" encoding="utf-8"?>
<sst xmlns="http://schemas.openxmlformats.org/spreadsheetml/2006/main" count="113" uniqueCount="19">
  <si>
    <t>Policy</t>
  </si>
  <si>
    <t>Target</t>
  </si>
  <si>
    <t>Generated RES</t>
  </si>
  <si>
    <t>Demand</t>
  </si>
  <si>
    <t>RES increase</t>
  </si>
  <si>
    <t>Target increase</t>
  </si>
  <si>
    <t>Baseline</t>
  </si>
  <si>
    <t>Downward Regulation</t>
  </si>
  <si>
    <t>Security Standard Review</t>
  </si>
  <si>
    <t>Reduce Moyle NTC</t>
  </si>
  <si>
    <t>Phase I LCIS</t>
  </si>
  <si>
    <t>Phase II LCIS</t>
  </si>
  <si>
    <t>LDES</t>
  </si>
  <si>
    <t>North-South Interconnector</t>
  </si>
  <si>
    <t>All</t>
  </si>
  <si>
    <t>Year</t>
  </si>
  <si>
    <t>Reduce Must-Runs</t>
  </si>
  <si>
    <t>dispatch down</t>
  </si>
  <si>
    <t>dispatch down decrease 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</si>
</sst>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304EF-795B-4B60-8038-B5E138E23169}">
  <dimension ref="A1:I11"/>
  <sheetViews>
    <sheetView topLeftCell="B1" workbookViewId="0">
      <selection activeCell="I10" sqref="I10"/>
    </sheetView>
  </sheetViews>
  <sheetFormatPr defaultRowHeight="14.5" x14ac:dyDescent="0.35"/>
  <cols>
    <col min="1" max="1" width="24.36328125" bestFit="1" customWidth="1"/>
    <col min="2" max="2" width="24.36328125" customWidth="1"/>
    <col min="3" max="3" width="13.08984375" bestFit="1" customWidth="1"/>
    <col min="4" max="4" width="11.81640625" bestFit="1" customWidth="1"/>
  </cols>
  <sheetData>
    <row r="1" spans="1:9" x14ac:dyDescent="0.35">
      <c r="A1" t="s">
        <v>0</v>
      </c>
      <c r="B1" t="s">
        <v>15</v>
      </c>
      <c r="C1" t="s">
        <v>2</v>
      </c>
      <c r="D1" t="s">
        <v>3</v>
      </c>
      <c r="E1" t="s">
        <v>1</v>
      </c>
      <c r="F1" t="s">
        <v>4</v>
      </c>
      <c r="G1" t="s">
        <v>5</v>
      </c>
      <c r="H1" t="s">
        <v>18</v>
      </c>
    </row>
    <row r="2" spans="1:9" x14ac:dyDescent="0.35">
      <c r="A2" t="s">
        <v>6</v>
      </c>
      <c r="C2">
        <v>12691576.143999999</v>
      </c>
      <c r="D2">
        <v>35808840.688000001</v>
      </c>
      <c r="E2">
        <f>C2/D2</f>
        <v>0.35442577587419938</v>
      </c>
      <c r="F2">
        <v>0</v>
      </c>
      <c r="G2">
        <v>0</v>
      </c>
      <c r="H2">
        <v>2064388.4569999999</v>
      </c>
    </row>
    <row r="3" spans="1:9" x14ac:dyDescent="0.35">
      <c r="A3" t="s">
        <v>7</v>
      </c>
      <c r="B3">
        <v>2026</v>
      </c>
      <c r="C3">
        <v>14839858.297</v>
      </c>
      <c r="D3">
        <v>35808840.688000001</v>
      </c>
      <c r="E3">
        <f t="shared" ref="E3:E11" si="0">C3/D3</f>
        <v>0.41441884215964092</v>
      </c>
      <c r="F3">
        <f t="shared" ref="F3:F11" si="1">C3-$C$2</f>
        <v>2148282.1530000009</v>
      </c>
      <c r="G3">
        <f>E3-$E$2</f>
        <v>5.9993066285441543E-2</v>
      </c>
      <c r="H3">
        <v>312541.80800000002</v>
      </c>
      <c r="I3">
        <f>(H3-$H$2)/$H$2</f>
        <v>-0.8486031991991515</v>
      </c>
    </row>
    <row r="4" spans="1:9" x14ac:dyDescent="0.35">
      <c r="A4" t="s">
        <v>8</v>
      </c>
      <c r="B4">
        <v>2026</v>
      </c>
      <c r="C4">
        <v>15888310.965</v>
      </c>
      <c r="D4">
        <v>35808840.688000001</v>
      </c>
      <c r="E4">
        <f t="shared" si="0"/>
        <v>0.44369799914590297</v>
      </c>
      <c r="F4">
        <f t="shared" si="1"/>
        <v>3196734.8210000005</v>
      </c>
      <c r="G4">
        <f t="shared" ref="G4:G11" si="2">E4-$E$2</f>
        <v>8.9272223271703588E-2</v>
      </c>
      <c r="H4">
        <v>56378.582999999999</v>
      </c>
      <c r="I4">
        <f t="shared" ref="I4:I11" si="3">(H4-$H$2)/$H$2</f>
        <v>-0.97268993497380318</v>
      </c>
    </row>
    <row r="5" spans="1:9" x14ac:dyDescent="0.35">
      <c r="A5" t="s">
        <v>16</v>
      </c>
      <c r="B5">
        <v>2026</v>
      </c>
      <c r="C5">
        <v>16797469.956</v>
      </c>
      <c r="D5">
        <v>35808840.688000001</v>
      </c>
      <c r="E5">
        <f t="shared" si="0"/>
        <v>0.46908723190329493</v>
      </c>
      <c r="F5">
        <f t="shared" si="1"/>
        <v>4105893.8120000008</v>
      </c>
      <c r="G5">
        <f t="shared" si="2"/>
        <v>0.11466145602909555</v>
      </c>
      <c r="H5">
        <v>214106.18799999999</v>
      </c>
      <c r="I5">
        <f t="shared" si="3"/>
        <v>-0.89628590138934294</v>
      </c>
    </row>
    <row r="6" spans="1:9" x14ac:dyDescent="0.35">
      <c r="A6" t="s">
        <v>9</v>
      </c>
      <c r="B6">
        <v>2026</v>
      </c>
      <c r="C6">
        <v>12691576.143999999</v>
      </c>
      <c r="D6">
        <v>35808840.688000001</v>
      </c>
      <c r="E6">
        <f t="shared" si="0"/>
        <v>0.35442577587419938</v>
      </c>
      <c r="F6">
        <f t="shared" si="1"/>
        <v>0</v>
      </c>
      <c r="G6">
        <f t="shared" si="2"/>
        <v>0</v>
      </c>
      <c r="H6">
        <v>2064388.4569999999</v>
      </c>
      <c r="I6">
        <f t="shared" si="3"/>
        <v>0</v>
      </c>
    </row>
    <row r="7" spans="1:9" x14ac:dyDescent="0.35">
      <c r="A7" t="s">
        <v>10</v>
      </c>
      <c r="B7">
        <v>2027</v>
      </c>
      <c r="C7">
        <v>15952249.778999999</v>
      </c>
      <c r="D7">
        <v>35808840.688000001</v>
      </c>
      <c r="E7">
        <f t="shared" si="0"/>
        <v>0.44548355859914229</v>
      </c>
      <c r="F7">
        <f t="shared" si="1"/>
        <v>3260673.6349999998</v>
      </c>
      <c r="G7">
        <f t="shared" si="2"/>
        <v>9.1057782724942915E-2</v>
      </c>
      <c r="H7">
        <v>603888.29200000002</v>
      </c>
      <c r="I7">
        <f t="shared" si="3"/>
        <v>-0.70747351839121431</v>
      </c>
    </row>
    <row r="8" spans="1:9" x14ac:dyDescent="0.35">
      <c r="A8" t="s">
        <v>11</v>
      </c>
      <c r="B8">
        <v>2029</v>
      </c>
      <c r="C8">
        <v>14401388.274</v>
      </c>
      <c r="D8">
        <v>35808840.688000001</v>
      </c>
      <c r="E8">
        <f t="shared" si="0"/>
        <v>0.40217409995141479</v>
      </c>
      <c r="F8">
        <f t="shared" si="1"/>
        <v>1709812.1300000008</v>
      </c>
      <c r="G8">
        <f t="shared" si="2"/>
        <v>4.7748324077215409E-2</v>
      </c>
      <c r="H8">
        <v>1273172.328</v>
      </c>
      <c r="I8">
        <f t="shared" si="3"/>
        <v>-0.38326901427738413</v>
      </c>
    </row>
    <row r="9" spans="1:9" x14ac:dyDescent="0.35">
      <c r="A9" t="s">
        <v>12</v>
      </c>
      <c r="B9">
        <v>2030</v>
      </c>
      <c r="C9">
        <v>13084420.169</v>
      </c>
      <c r="D9">
        <v>35808840.688000001</v>
      </c>
      <c r="E9">
        <f t="shared" si="0"/>
        <v>0.36539636351267735</v>
      </c>
      <c r="F9">
        <f t="shared" si="1"/>
        <v>392844.02500000037</v>
      </c>
      <c r="G9">
        <f t="shared" si="2"/>
        <v>1.0970587638477969E-2</v>
      </c>
      <c r="H9">
        <v>2836790.3769999999</v>
      </c>
      <c r="I9">
        <f>(H9-$H$2)/$H$2</f>
        <v>0.37415531819164788</v>
      </c>
    </row>
    <row r="10" spans="1:9" x14ac:dyDescent="0.35">
      <c r="A10" t="s">
        <v>13</v>
      </c>
      <c r="B10">
        <v>2031</v>
      </c>
      <c r="C10">
        <v>12691576.143999999</v>
      </c>
      <c r="D10">
        <v>35808840.688000001</v>
      </c>
      <c r="E10">
        <f t="shared" si="0"/>
        <v>0.35442577587419938</v>
      </c>
      <c r="F10">
        <f t="shared" si="1"/>
        <v>0</v>
      </c>
      <c r="G10">
        <f t="shared" si="2"/>
        <v>0</v>
      </c>
      <c r="H10">
        <v>2064388.4569999999</v>
      </c>
      <c r="I10">
        <f t="shared" si="3"/>
        <v>0</v>
      </c>
    </row>
    <row r="11" spans="1:9" x14ac:dyDescent="0.35">
      <c r="A11" t="s">
        <v>14</v>
      </c>
      <c r="C11">
        <v>28416386.434999999</v>
      </c>
      <c r="D11">
        <v>35808840.688000001</v>
      </c>
      <c r="E11">
        <f t="shared" si="0"/>
        <v>0.79355784462809187</v>
      </c>
      <c r="F11">
        <f t="shared" si="1"/>
        <v>15724810.290999999</v>
      </c>
      <c r="G11">
        <f t="shared" si="2"/>
        <v>0.43913206875389249</v>
      </c>
      <c r="H11">
        <v>403189.70899999997</v>
      </c>
      <c r="I11">
        <f t="shared" si="3"/>
        <v>-0.8046929066897025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A612A-B3B2-4DCF-B11E-282B5AD09DD0}">
  <dimension ref="A1:I11"/>
  <sheetViews>
    <sheetView topLeftCell="B1" workbookViewId="0">
      <selection activeCell="I4" sqref="I4"/>
    </sheetView>
  </sheetViews>
  <sheetFormatPr defaultRowHeight="14.5" x14ac:dyDescent="0.35"/>
  <cols>
    <col min="1" max="1" width="24.36328125" bestFit="1" customWidth="1"/>
    <col min="3" max="3" width="13.08984375" bestFit="1" customWidth="1"/>
    <col min="4" max="4" width="11.81640625" bestFit="1" customWidth="1"/>
    <col min="8" max="8" width="10.81640625" bestFit="1" customWidth="1"/>
  </cols>
  <sheetData>
    <row r="1" spans="1:9" x14ac:dyDescent="0.35">
      <c r="A1" t="s">
        <v>0</v>
      </c>
      <c r="B1" t="s">
        <v>15</v>
      </c>
      <c r="C1" t="s">
        <v>2</v>
      </c>
      <c r="D1" t="s">
        <v>3</v>
      </c>
      <c r="E1" t="s">
        <v>1</v>
      </c>
      <c r="F1" t="s">
        <v>4</v>
      </c>
      <c r="G1" t="s">
        <v>5</v>
      </c>
      <c r="H1" t="s">
        <v>17</v>
      </c>
      <c r="I1" t="s">
        <v>18</v>
      </c>
    </row>
    <row r="2" spans="1:9" x14ac:dyDescent="0.35">
      <c r="A2" t="s">
        <v>6</v>
      </c>
      <c r="C2">
        <v>11462618.43</v>
      </c>
      <c r="D2">
        <v>36080210.625</v>
      </c>
      <c r="E2">
        <f>C2/D2</f>
        <v>0.31769821271657278</v>
      </c>
      <c r="H2">
        <v>4255110.3540000003</v>
      </c>
    </row>
    <row r="3" spans="1:9" x14ac:dyDescent="0.35">
      <c r="A3" t="s">
        <v>7</v>
      </c>
      <c r="B3">
        <v>2026</v>
      </c>
      <c r="C3">
        <v>13622618.43</v>
      </c>
      <c r="D3">
        <v>36080210.625</v>
      </c>
      <c r="E3">
        <f t="shared" ref="E3:E11" si="0">C3/D3</f>
        <v>0.37756482553793297</v>
      </c>
      <c r="F3">
        <f>C3-$C$2</f>
        <v>2160000</v>
      </c>
      <c r="G3">
        <f>E3-$E$2</f>
        <v>5.9866612821360188E-2</v>
      </c>
      <c r="H3">
        <v>2133139.8569999998</v>
      </c>
      <c r="I3">
        <f>(H3-$H$2)/$H$2</f>
        <v>-0.4986875358015686</v>
      </c>
    </row>
    <row r="4" spans="1:9" x14ac:dyDescent="0.35">
      <c r="A4" t="s">
        <v>8</v>
      </c>
      <c r="B4">
        <v>2026</v>
      </c>
      <c r="C4">
        <v>14684768.857000001</v>
      </c>
      <c r="D4">
        <v>36080210.625</v>
      </c>
      <c r="E4">
        <f t="shared" si="0"/>
        <v>0.40700341274684565</v>
      </c>
      <c r="F4">
        <f t="shared" ref="F4:F11" si="1">C4-$C$2</f>
        <v>3222150.4270000011</v>
      </c>
      <c r="G4">
        <f t="shared" ref="G4:G11" si="2">E4-$E$2</f>
        <v>8.9305200030272869E-2</v>
      </c>
      <c r="H4">
        <v>14684768.857000001</v>
      </c>
      <c r="I4">
        <f t="shared" ref="I4:I11" si="3">(H4-$H$2)/$H$2</f>
        <v>2.4510900153730772</v>
      </c>
    </row>
    <row r="5" spans="1:9" x14ac:dyDescent="0.35">
      <c r="A5" t="s">
        <v>16</v>
      </c>
      <c r="B5">
        <v>2026</v>
      </c>
      <c r="C5">
        <v>15686067.731000001</v>
      </c>
      <c r="D5">
        <v>36080210.625</v>
      </c>
      <c r="E5">
        <f t="shared" si="0"/>
        <v>0.43475543682472617</v>
      </c>
      <c r="F5">
        <f t="shared" si="1"/>
        <v>4223449.3010000009</v>
      </c>
      <c r="G5">
        <f t="shared" si="2"/>
        <v>0.11705722410815339</v>
      </c>
      <c r="H5">
        <v>551540.48899999994</v>
      </c>
      <c r="I5">
        <f t="shared" si="3"/>
        <v>-0.87038162512482753</v>
      </c>
    </row>
    <row r="6" spans="1:9" x14ac:dyDescent="0.35">
      <c r="A6" t="s">
        <v>9</v>
      </c>
      <c r="B6">
        <v>2026</v>
      </c>
      <c r="C6">
        <v>11462618.43</v>
      </c>
      <c r="D6">
        <v>36080210.625</v>
      </c>
      <c r="E6">
        <f t="shared" si="0"/>
        <v>0.31769821271657278</v>
      </c>
      <c r="F6">
        <f t="shared" si="1"/>
        <v>0</v>
      </c>
      <c r="G6">
        <f t="shared" si="2"/>
        <v>0</v>
      </c>
      <c r="H6">
        <v>4255110.3540000003</v>
      </c>
      <c r="I6">
        <f t="shared" si="3"/>
        <v>0</v>
      </c>
    </row>
    <row r="7" spans="1:9" x14ac:dyDescent="0.35">
      <c r="A7" t="s">
        <v>10</v>
      </c>
      <c r="B7">
        <v>2027</v>
      </c>
      <c r="C7">
        <v>14803099.373</v>
      </c>
      <c r="D7">
        <v>36080210.625</v>
      </c>
      <c r="E7">
        <f t="shared" si="0"/>
        <v>0.41028306422199551</v>
      </c>
      <c r="F7">
        <f t="shared" si="1"/>
        <v>3340480.943</v>
      </c>
      <c r="G7">
        <f t="shared" si="2"/>
        <v>9.2584851505422727E-2</v>
      </c>
      <c r="H7">
        <v>1379173.514</v>
      </c>
      <c r="I7">
        <f t="shared" si="3"/>
        <v>-0.67587832059313968</v>
      </c>
    </row>
    <row r="8" spans="1:9" x14ac:dyDescent="0.35">
      <c r="A8" t="s">
        <v>11</v>
      </c>
      <c r="B8">
        <v>2029</v>
      </c>
      <c r="C8">
        <v>13190618.43</v>
      </c>
      <c r="D8">
        <v>36080210.625</v>
      </c>
      <c r="E8">
        <f t="shared" si="0"/>
        <v>0.36559150297366094</v>
      </c>
      <c r="F8">
        <f t="shared" si="1"/>
        <v>1728000</v>
      </c>
      <c r="G8">
        <f t="shared" si="2"/>
        <v>4.7893290257088161E-2</v>
      </c>
      <c r="H8">
        <v>2885884.9679999999</v>
      </c>
      <c r="I8">
        <f t="shared" si="3"/>
        <v>-0.3217837546123487</v>
      </c>
    </row>
    <row r="9" spans="1:9" x14ac:dyDescent="0.35">
      <c r="A9" t="s">
        <v>12</v>
      </c>
      <c r="B9">
        <v>2030</v>
      </c>
      <c r="C9">
        <v>11923980.903000001</v>
      </c>
      <c r="D9">
        <v>36080210.625</v>
      </c>
      <c r="E9">
        <f t="shared" si="0"/>
        <v>0.33048534630055254</v>
      </c>
      <c r="F9">
        <f t="shared" si="1"/>
        <v>461362.47300000116</v>
      </c>
      <c r="G9">
        <f t="shared" si="2"/>
        <v>1.278713358397976E-2</v>
      </c>
      <c r="H9">
        <v>4952891.8099999996</v>
      </c>
      <c r="I9">
        <f t="shared" si="3"/>
        <v>0.16398668846368519</v>
      </c>
    </row>
    <row r="10" spans="1:9" x14ac:dyDescent="0.35">
      <c r="A10" t="s">
        <v>13</v>
      </c>
      <c r="B10">
        <v>2031</v>
      </c>
      <c r="C10">
        <v>11462618.43</v>
      </c>
      <c r="D10">
        <v>36080210.625</v>
      </c>
      <c r="E10">
        <f t="shared" si="0"/>
        <v>0.31769821271657278</v>
      </c>
      <c r="F10">
        <f t="shared" si="1"/>
        <v>0</v>
      </c>
      <c r="G10">
        <f t="shared" si="2"/>
        <v>0</v>
      </c>
      <c r="H10">
        <v>4255110.3540000003</v>
      </c>
      <c r="I10">
        <f t="shared" si="3"/>
        <v>0</v>
      </c>
    </row>
    <row r="11" spans="1:9" x14ac:dyDescent="0.35">
      <c r="A11" t="s">
        <v>14</v>
      </c>
      <c r="C11">
        <v>27282545.730999999</v>
      </c>
      <c r="D11">
        <v>36080210.625</v>
      </c>
      <c r="E11">
        <f t="shared" si="0"/>
        <v>0.75616370465686544</v>
      </c>
      <c r="F11">
        <f t="shared" si="1"/>
        <v>15819927.300999999</v>
      </c>
      <c r="G11">
        <f t="shared" si="2"/>
        <v>0.43846549194029266</v>
      </c>
      <c r="H11">
        <v>308072.69900000002</v>
      </c>
      <c r="I11">
        <f t="shared" si="3"/>
        <v>-0.92759936326671355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21E3F-0088-48D4-BF32-CAD48ED79273}">
  <dimension ref="A1:I11"/>
  <sheetViews>
    <sheetView zoomScale="72" workbookViewId="0">
      <selection sqref="A1:I11"/>
    </sheetView>
  </sheetViews>
  <sheetFormatPr defaultRowHeight="14.5" x14ac:dyDescent="0.35"/>
  <cols>
    <col min="1" max="1" width="23.26953125" bestFit="1" customWidth="1"/>
    <col min="2" max="2" width="8.81640625" bestFit="1" customWidth="1"/>
    <col min="3" max="3" width="10.90625" bestFit="1" customWidth="1"/>
    <col min="4" max="4" width="11.90625" bestFit="1" customWidth="1"/>
    <col min="5" max="5" width="8.81640625" bestFit="1" customWidth="1"/>
    <col min="6" max="6" width="11.90625" bestFit="1" customWidth="1"/>
    <col min="7" max="7" width="13.453125" bestFit="1" customWidth="1"/>
    <col min="8" max="8" width="12.7265625" bestFit="1" customWidth="1"/>
  </cols>
  <sheetData>
    <row r="1" spans="1:9" x14ac:dyDescent="0.35">
      <c r="A1" t="s">
        <v>0</v>
      </c>
      <c r="B1" t="s">
        <v>15</v>
      </c>
      <c r="C1" t="s">
        <v>2</v>
      </c>
      <c r="D1" t="s">
        <v>3</v>
      </c>
      <c r="E1" t="s">
        <v>1</v>
      </c>
      <c r="F1" t="s">
        <v>4</v>
      </c>
      <c r="G1" t="s">
        <v>5</v>
      </c>
      <c r="H1" t="s">
        <v>17</v>
      </c>
      <c r="I1" t="s">
        <v>18</v>
      </c>
    </row>
    <row r="2" spans="1:9" x14ac:dyDescent="0.35">
      <c r="A2" t="s">
        <v>6</v>
      </c>
      <c r="C2">
        <v>12691576.143999999</v>
      </c>
      <c r="D2">
        <v>35808840.688000001</v>
      </c>
      <c r="E2">
        <f>C2/D2</f>
        <v>0.35442577587419938</v>
      </c>
      <c r="H2">
        <v>2064388.4569999999</v>
      </c>
    </row>
    <row r="3" spans="1:9" x14ac:dyDescent="0.35">
      <c r="A3" t="s">
        <v>7</v>
      </c>
      <c r="B3">
        <v>2026</v>
      </c>
      <c r="C3">
        <v>14455140.639</v>
      </c>
      <c r="D3">
        <v>35808840.688000001</v>
      </c>
      <c r="E3">
        <f t="shared" ref="E3:E11" si="0">C3/D3</f>
        <v>0.4036751919713531</v>
      </c>
      <c r="F3">
        <f>C3-$C$2</f>
        <v>1763564.495000001</v>
      </c>
      <c r="G3">
        <f>E3-$E$2</f>
        <v>4.924941609715372E-2</v>
      </c>
      <c r="H3">
        <v>300823.96100000001</v>
      </c>
      <c r="I3">
        <f>(H3-$H$2)/$H$2</f>
        <v>-0.85427938236141754</v>
      </c>
    </row>
    <row r="4" spans="1:9" x14ac:dyDescent="0.35">
      <c r="A4" t="s">
        <v>8</v>
      </c>
      <c r="B4">
        <v>2026</v>
      </c>
      <c r="C4">
        <v>14742851.197000001</v>
      </c>
      <c r="D4">
        <v>35808840.688000001</v>
      </c>
      <c r="E4">
        <f t="shared" si="0"/>
        <v>0.41170981561378828</v>
      </c>
      <c r="F4">
        <f t="shared" ref="F4:F11" si="1">C4-$C$2</f>
        <v>2051275.0530000012</v>
      </c>
      <c r="G4">
        <f t="shared" ref="G4:G10" si="2">E4-$E$2</f>
        <v>5.7284039739588899E-2</v>
      </c>
      <c r="H4">
        <v>13113.404</v>
      </c>
      <c r="I4">
        <f t="shared" ref="I4:I11" si="3">(H4-$H$2)/$H$2</f>
        <v>-0.99364780211033699</v>
      </c>
    </row>
    <row r="5" spans="1:9" x14ac:dyDescent="0.35">
      <c r="A5" t="s">
        <v>16</v>
      </c>
      <c r="B5">
        <v>2026</v>
      </c>
      <c r="C5">
        <v>14754069.800000001</v>
      </c>
      <c r="D5">
        <v>35808840.688000001</v>
      </c>
      <c r="E5">
        <f t="shared" si="0"/>
        <v>0.41202310704641931</v>
      </c>
      <c r="F5">
        <f t="shared" si="1"/>
        <v>2062493.6560000014</v>
      </c>
      <c r="G5">
        <f t="shared" si="2"/>
        <v>5.7597331172219934E-2</v>
      </c>
      <c r="H5">
        <v>1894.8</v>
      </c>
      <c r="I5">
        <f>(H5-$H$2)/$H$2</f>
        <v>-0.99908214948907748</v>
      </c>
    </row>
    <row r="6" spans="1:9" x14ac:dyDescent="0.35">
      <c r="A6" t="s">
        <v>9</v>
      </c>
      <c r="B6">
        <v>2026</v>
      </c>
      <c r="C6">
        <v>12691576.143999999</v>
      </c>
      <c r="D6">
        <v>35808840.688000001</v>
      </c>
      <c r="E6">
        <f t="shared" si="0"/>
        <v>0.35442577587419938</v>
      </c>
      <c r="F6">
        <f t="shared" si="1"/>
        <v>0</v>
      </c>
      <c r="G6">
        <f t="shared" si="2"/>
        <v>0</v>
      </c>
      <c r="H6">
        <v>2064388.4569999999</v>
      </c>
      <c r="I6">
        <f t="shared" si="3"/>
        <v>0</v>
      </c>
    </row>
    <row r="7" spans="1:9" x14ac:dyDescent="0.35">
      <c r="A7" t="s">
        <v>10</v>
      </c>
      <c r="B7">
        <v>2027</v>
      </c>
      <c r="C7">
        <v>14275402.673</v>
      </c>
      <c r="D7">
        <v>35808840.688000001</v>
      </c>
      <c r="E7">
        <f t="shared" si="0"/>
        <v>0.39865581791325261</v>
      </c>
      <c r="F7">
        <f t="shared" si="1"/>
        <v>1583826.529000001</v>
      </c>
      <c r="G7">
        <f t="shared" si="2"/>
        <v>4.423004203905323E-2</v>
      </c>
      <c r="H7">
        <v>480561.92700000003</v>
      </c>
      <c r="I7">
        <f t="shared" si="3"/>
        <v>-0.76721342082179633</v>
      </c>
    </row>
    <row r="8" spans="1:9" x14ac:dyDescent="0.35">
      <c r="A8" t="s">
        <v>11</v>
      </c>
      <c r="B8">
        <v>2029</v>
      </c>
      <c r="C8">
        <v>13500980.142000001</v>
      </c>
      <c r="D8">
        <v>35808840.688000001</v>
      </c>
      <c r="E8">
        <f t="shared" si="0"/>
        <v>0.37702924424817674</v>
      </c>
      <c r="F8">
        <f t="shared" si="1"/>
        <v>809403.99800000153</v>
      </c>
      <c r="G8">
        <f t="shared" si="2"/>
        <v>2.2603468373977365E-2</v>
      </c>
      <c r="H8">
        <v>1254984.4580000001</v>
      </c>
      <c r="I8">
        <f t="shared" si="3"/>
        <v>-0.39207930864728713</v>
      </c>
    </row>
    <row r="9" spans="1:9" x14ac:dyDescent="0.35">
      <c r="A9" t="s">
        <v>12</v>
      </c>
      <c r="B9">
        <v>2030</v>
      </c>
      <c r="C9">
        <v>12822330.198000001</v>
      </c>
      <c r="D9">
        <v>35808840.688000001</v>
      </c>
      <c r="E9">
        <f t="shared" si="0"/>
        <v>0.35807722203910741</v>
      </c>
      <c r="F9">
        <f t="shared" si="1"/>
        <v>130754.0540000014</v>
      </c>
      <c r="G9">
        <f t="shared" si="2"/>
        <v>3.6514461649080343E-3</v>
      </c>
      <c r="H9">
        <v>1933634.402</v>
      </c>
      <c r="I9">
        <f t="shared" si="3"/>
        <v>-6.3337912279365138E-2</v>
      </c>
    </row>
    <row r="10" spans="1:9" x14ac:dyDescent="0.35">
      <c r="A10" t="s">
        <v>13</v>
      </c>
      <c r="B10">
        <v>2031</v>
      </c>
      <c r="C10">
        <v>12691576.143999999</v>
      </c>
      <c r="D10">
        <v>35808840.688000001</v>
      </c>
      <c r="E10">
        <f t="shared" si="0"/>
        <v>0.35442577587419938</v>
      </c>
      <c r="F10">
        <f t="shared" si="1"/>
        <v>0</v>
      </c>
      <c r="G10">
        <f t="shared" si="2"/>
        <v>0</v>
      </c>
      <c r="H10">
        <v>2064388.4569999999</v>
      </c>
      <c r="I10">
        <f t="shared" si="3"/>
        <v>0</v>
      </c>
    </row>
    <row r="11" spans="1:9" x14ac:dyDescent="0.35">
      <c r="A11" t="s">
        <v>14</v>
      </c>
      <c r="C11">
        <v>14755964.601</v>
      </c>
      <c r="D11">
        <v>35808840.688000001</v>
      </c>
      <c r="E11">
        <f t="shared" si="0"/>
        <v>0.41207602138163918</v>
      </c>
      <c r="F11">
        <f t="shared" si="1"/>
        <v>2064388.4570000004</v>
      </c>
      <c r="G11">
        <f>E11-$E$2</f>
        <v>5.7650245507439801E-2</v>
      </c>
      <c r="H11">
        <v>0</v>
      </c>
      <c r="I11">
        <f t="shared" si="3"/>
        <v>-1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9EB73-A141-42F3-A1E9-577DB504196D}">
  <dimension ref="A1:I11"/>
  <sheetViews>
    <sheetView workbookViewId="0">
      <selection activeCell="I3" sqref="I3:I11"/>
    </sheetView>
  </sheetViews>
  <sheetFormatPr defaultRowHeight="14.5" x14ac:dyDescent="0.35"/>
  <cols>
    <col min="1" max="1" width="23.26953125" bestFit="1" customWidth="1"/>
    <col min="8" max="8" width="12.453125" bestFit="1" customWidth="1"/>
  </cols>
  <sheetData>
    <row r="1" spans="1:9" x14ac:dyDescent="0.35">
      <c r="A1" t="s">
        <v>0</v>
      </c>
      <c r="B1" t="s">
        <v>15</v>
      </c>
      <c r="C1" t="s">
        <v>2</v>
      </c>
      <c r="D1" t="s">
        <v>3</v>
      </c>
      <c r="E1" t="s">
        <v>1</v>
      </c>
      <c r="F1" t="s">
        <v>4</v>
      </c>
      <c r="G1" t="s">
        <v>5</v>
      </c>
      <c r="H1" t="s">
        <v>17</v>
      </c>
      <c r="I1" t="s">
        <v>18</v>
      </c>
    </row>
    <row r="2" spans="1:9" x14ac:dyDescent="0.35">
      <c r="A2" t="s">
        <v>6</v>
      </c>
      <c r="C2">
        <v>11462618.43</v>
      </c>
      <c r="D2">
        <v>36080210.625</v>
      </c>
      <c r="E2">
        <f>C2/D2</f>
        <v>0.31769821271657278</v>
      </c>
      <c r="H2">
        <v>4255110.3540000003</v>
      </c>
    </row>
    <row r="3" spans="1:9" x14ac:dyDescent="0.35">
      <c r="A3" t="s">
        <v>7</v>
      </c>
      <c r="B3">
        <v>2026</v>
      </c>
      <c r="C3">
        <v>13584588.926999999</v>
      </c>
      <c r="D3">
        <v>36080210.625</v>
      </c>
      <c r="E3">
        <f t="shared" ref="E3:E11" si="0">C3/D3</f>
        <v>0.37651079890279882</v>
      </c>
      <c r="F3">
        <f>C3-$C$2</f>
        <v>2121970.4969999995</v>
      </c>
      <c r="G3">
        <f>E3-$E$2</f>
        <v>5.8812586186226035E-2</v>
      </c>
      <c r="H3">
        <v>2133139.8569999998</v>
      </c>
      <c r="I3">
        <f>(H3-$H$2)/$H$2</f>
        <v>-0.4986875358015686</v>
      </c>
    </row>
    <row r="4" spans="1:9" x14ac:dyDescent="0.35">
      <c r="A4" t="s">
        <v>8</v>
      </c>
      <c r="B4">
        <v>2026</v>
      </c>
      <c r="C4">
        <v>14401340.312000001</v>
      </c>
      <c r="D4">
        <v>36080210.625</v>
      </c>
      <c r="E4">
        <f t="shared" si="0"/>
        <v>0.39914790026256952</v>
      </c>
      <c r="F4">
        <f t="shared" ref="F4:F11" si="1">C4-$C$2</f>
        <v>2938721.8820000011</v>
      </c>
      <c r="G4">
        <f t="shared" ref="G4:G11" si="2">E4-$E$2</f>
        <v>8.1449687545996741E-2</v>
      </c>
      <c r="H4">
        <v>1312609.628</v>
      </c>
      <c r="I4">
        <f t="shared" ref="I4:I11" si="3">(H4-$H$2)/$H$2</f>
        <v>-0.6915216013690253</v>
      </c>
    </row>
    <row r="5" spans="1:9" x14ac:dyDescent="0.35">
      <c r="A5" t="s">
        <v>16</v>
      </c>
      <c r="B5">
        <v>2026</v>
      </c>
      <c r="C5">
        <v>15115490.221999999</v>
      </c>
      <c r="D5">
        <v>36080210.625</v>
      </c>
      <c r="E5">
        <f t="shared" si="0"/>
        <v>0.41894129663218949</v>
      </c>
      <c r="F5">
        <f t="shared" si="1"/>
        <v>3652871.7919999994</v>
      </c>
      <c r="G5">
        <f t="shared" si="2"/>
        <v>0.10124308391561671</v>
      </c>
      <c r="H5">
        <v>537319.33299999998</v>
      </c>
      <c r="I5">
        <f t="shared" si="3"/>
        <v>-0.87372376077276226</v>
      </c>
    </row>
    <row r="6" spans="1:9" x14ac:dyDescent="0.35">
      <c r="A6" t="s">
        <v>9</v>
      </c>
      <c r="B6">
        <v>2026</v>
      </c>
      <c r="C6">
        <v>11462618.43</v>
      </c>
      <c r="D6">
        <v>36080210.625</v>
      </c>
      <c r="E6">
        <f t="shared" si="0"/>
        <v>0.31769821271657278</v>
      </c>
      <c r="F6">
        <f t="shared" si="1"/>
        <v>0</v>
      </c>
      <c r="G6">
        <f t="shared" si="2"/>
        <v>0</v>
      </c>
      <c r="H6">
        <v>4255110.3540000003</v>
      </c>
      <c r="I6">
        <f t="shared" si="3"/>
        <v>0</v>
      </c>
    </row>
    <row r="7" spans="1:9" x14ac:dyDescent="0.35">
      <c r="A7" t="s">
        <v>10</v>
      </c>
      <c r="B7">
        <v>2027</v>
      </c>
      <c r="C7">
        <v>14280139.048</v>
      </c>
      <c r="D7">
        <v>36080210.625</v>
      </c>
      <c r="E7">
        <f t="shared" si="0"/>
        <v>0.3957886830656494</v>
      </c>
      <c r="F7">
        <f t="shared" si="1"/>
        <v>2817520.6180000007</v>
      </c>
      <c r="G7">
        <f t="shared" si="2"/>
        <v>7.8090470349076624E-2</v>
      </c>
      <c r="H7">
        <v>1379173.514</v>
      </c>
      <c r="I7">
        <f t="shared" si="3"/>
        <v>-0.67587832059313968</v>
      </c>
    </row>
    <row r="8" spans="1:9" x14ac:dyDescent="0.35">
      <c r="A8" t="s">
        <v>11</v>
      </c>
      <c r="B8">
        <v>2029</v>
      </c>
      <c r="C8">
        <v>12831843.816</v>
      </c>
      <c r="D8">
        <v>36080210.625</v>
      </c>
      <c r="E8">
        <f t="shared" si="0"/>
        <v>0.3556476969984429</v>
      </c>
      <c r="F8">
        <f t="shared" si="1"/>
        <v>1369225.3859999999</v>
      </c>
      <c r="G8">
        <f t="shared" si="2"/>
        <v>3.7949484281870116E-2</v>
      </c>
      <c r="H8">
        <v>2885884.9679999999</v>
      </c>
      <c r="I8">
        <f t="shared" si="3"/>
        <v>-0.3217837546123487</v>
      </c>
    </row>
    <row r="9" spans="1:9" x14ac:dyDescent="0.35">
      <c r="A9" t="s">
        <v>12</v>
      </c>
      <c r="B9">
        <v>2030</v>
      </c>
      <c r="C9">
        <v>11599474.502</v>
      </c>
      <c r="D9">
        <v>36080210.625</v>
      </c>
      <c r="E9">
        <f t="shared" si="0"/>
        <v>0.32149131895484884</v>
      </c>
      <c r="F9">
        <f t="shared" si="1"/>
        <v>136856.07200000063</v>
      </c>
      <c r="G9">
        <f t="shared" si="2"/>
        <v>3.7931062382760561E-3</v>
      </c>
      <c r="H9">
        <v>4118254.2820000001</v>
      </c>
      <c r="I9">
        <f t="shared" si="3"/>
        <v>-3.2162755043790847E-2</v>
      </c>
    </row>
    <row r="10" spans="1:9" x14ac:dyDescent="0.35">
      <c r="A10" t="s">
        <v>13</v>
      </c>
      <c r="B10">
        <v>2031</v>
      </c>
      <c r="C10">
        <v>11462618.43</v>
      </c>
      <c r="D10">
        <v>36080210.625</v>
      </c>
      <c r="E10">
        <f t="shared" si="0"/>
        <v>0.31769821271657278</v>
      </c>
      <c r="F10">
        <f t="shared" si="1"/>
        <v>0</v>
      </c>
      <c r="G10">
        <f t="shared" si="2"/>
        <v>0</v>
      </c>
      <c r="H10">
        <v>4255110.3540000003</v>
      </c>
      <c r="I10">
        <f t="shared" si="3"/>
        <v>0</v>
      </c>
    </row>
    <row r="11" spans="1:9" x14ac:dyDescent="0.35">
      <c r="A11" t="s">
        <v>14</v>
      </c>
      <c r="C11">
        <v>15717728.784</v>
      </c>
      <c r="D11">
        <v>36080210.625</v>
      </c>
      <c r="E11">
        <f t="shared" si="0"/>
        <v>0.4356329553439241</v>
      </c>
      <c r="F11">
        <f t="shared" si="1"/>
        <v>4255110.3540000003</v>
      </c>
      <c r="G11">
        <f t="shared" si="2"/>
        <v>0.11793474262735132</v>
      </c>
      <c r="H11">
        <v>0</v>
      </c>
      <c r="I11">
        <f t="shared" si="3"/>
        <v>-1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E2126-E6E4-431E-9468-62D593B8CE37}">
  <dimension ref="A1:I11"/>
  <sheetViews>
    <sheetView workbookViewId="0">
      <selection sqref="A1:I11"/>
    </sheetView>
  </sheetViews>
  <sheetFormatPr defaultRowHeight="14.5" x14ac:dyDescent="0.35"/>
  <cols>
    <col min="1" max="1" width="23.26953125" bestFit="1" customWidth="1"/>
    <col min="3" max="3" width="12.90625" bestFit="1" customWidth="1"/>
    <col min="4" max="4" width="10.81640625" bestFit="1" customWidth="1"/>
    <col min="7" max="7" width="12.453125" bestFit="1" customWidth="1"/>
  </cols>
  <sheetData>
    <row r="1" spans="1:9" x14ac:dyDescent="0.35">
      <c r="A1" t="s">
        <v>0</v>
      </c>
      <c r="B1" t="s">
        <v>15</v>
      </c>
      <c r="C1" t="s">
        <v>2</v>
      </c>
      <c r="D1" t="s">
        <v>3</v>
      </c>
      <c r="E1" t="s">
        <v>1</v>
      </c>
      <c r="F1" t="s">
        <v>4</v>
      </c>
      <c r="G1" t="s">
        <v>5</v>
      </c>
      <c r="H1" t="s">
        <v>17</v>
      </c>
      <c r="I1" t="s">
        <v>18</v>
      </c>
    </row>
    <row r="2" spans="1:9" x14ac:dyDescent="0.35">
      <c r="A2" t="s">
        <v>6</v>
      </c>
      <c r="C2" s="1">
        <v>12691576.1440429</v>
      </c>
      <c r="D2">
        <v>35808840.6875</v>
      </c>
      <c r="E2">
        <f>C2/D2</f>
        <v>0.35442577588034629</v>
      </c>
      <c r="H2">
        <v>12817444.552542901</v>
      </c>
    </row>
    <row r="3" spans="1:9" x14ac:dyDescent="0.35">
      <c r="A3" t="s">
        <v>7</v>
      </c>
      <c r="B3">
        <v>2026</v>
      </c>
      <c r="C3">
        <v>14839858.297363199</v>
      </c>
      <c r="D3">
        <v>35808840.688000001</v>
      </c>
      <c r="E3">
        <f>C3/D3</f>
        <v>0.41441884216978364</v>
      </c>
      <c r="F3" s="1">
        <f>C3-$C$2</f>
        <v>2148282.1533202995</v>
      </c>
      <c r="G3">
        <f>E3-$E$2</f>
        <v>5.9993066289437347E-2</v>
      </c>
      <c r="H3">
        <v>10669162.399222599</v>
      </c>
      <c r="I3">
        <f>(H3-$H$2)/$H$2</f>
        <v>-0.16760612027723543</v>
      </c>
    </row>
    <row r="4" spans="1:9" x14ac:dyDescent="0.35">
      <c r="A4" t="s">
        <v>8</v>
      </c>
      <c r="B4">
        <v>2026</v>
      </c>
      <c r="C4">
        <v>15888310.9646484</v>
      </c>
      <c r="D4">
        <v>35808840.688000001</v>
      </c>
      <c r="E4">
        <f t="shared" ref="E3:E11" si="0">C4/D4</f>
        <v>0.44369799913608415</v>
      </c>
      <c r="F4">
        <f t="shared" ref="F4:F11" si="1">C4-$C$2</f>
        <v>3196734.8206054997</v>
      </c>
      <c r="G4">
        <f>E4-$E$2</f>
        <v>8.9272223255737859E-2</v>
      </c>
      <c r="H4">
        <v>9620709.7319374997</v>
      </c>
      <c r="I4">
        <f t="shared" ref="I4:I11" si="2">(H4-$H$2)/$H$2</f>
        <v>-0.24940500483547548</v>
      </c>
    </row>
    <row r="5" spans="1:9" x14ac:dyDescent="0.35">
      <c r="A5" t="s">
        <v>16</v>
      </c>
      <c r="B5">
        <v>2026</v>
      </c>
      <c r="C5">
        <v>15264658.297363199</v>
      </c>
      <c r="D5">
        <v>35808840.688000001</v>
      </c>
      <c r="E5">
        <f t="shared" si="0"/>
        <v>0.42628183443198098</v>
      </c>
      <c r="F5">
        <f t="shared" si="1"/>
        <v>2573082.1533202995</v>
      </c>
      <c r="G5">
        <f>E5-$E$2</f>
        <v>7.1856058551634683E-2</v>
      </c>
      <c r="H5">
        <v>10244362.399222599</v>
      </c>
      <c r="I5">
        <f>(H5-$H$2)/$H$2</f>
        <v>-0.2007484520625305</v>
      </c>
    </row>
    <row r="6" spans="1:9" x14ac:dyDescent="0.35">
      <c r="A6" t="s">
        <v>9</v>
      </c>
      <c r="B6">
        <v>2026</v>
      </c>
      <c r="C6">
        <v>12691576.1440429</v>
      </c>
      <c r="D6">
        <v>35808840.688000001</v>
      </c>
      <c r="E6">
        <f t="shared" si="0"/>
        <v>0.35442577587539742</v>
      </c>
      <c r="F6">
        <f t="shared" si="1"/>
        <v>0</v>
      </c>
      <c r="G6">
        <v>0</v>
      </c>
      <c r="H6">
        <v>12817444.552542901</v>
      </c>
      <c r="I6">
        <f t="shared" si="2"/>
        <v>0</v>
      </c>
    </row>
    <row r="7" spans="1:9" x14ac:dyDescent="0.35">
      <c r="A7" t="s">
        <v>10</v>
      </c>
      <c r="B7">
        <v>2027</v>
      </c>
      <c r="C7">
        <v>15952249.779492101</v>
      </c>
      <c r="D7">
        <v>35808840.688000001</v>
      </c>
      <c r="E7">
        <f>C7/D7</f>
        <v>0.44548355861288474</v>
      </c>
      <c r="F7">
        <f t="shared" si="1"/>
        <v>3260673.6354492009</v>
      </c>
      <c r="G7">
        <f t="shared" ref="G4:G10" si="3">E7-$E$2</f>
        <v>9.105778273253845E-2</v>
      </c>
      <c r="H7">
        <v>9556770.9170937501</v>
      </c>
      <c r="I7">
        <f t="shared" si="2"/>
        <v>-0.2543934262467516</v>
      </c>
    </row>
    <row r="8" spans="1:9" x14ac:dyDescent="0.35">
      <c r="A8" t="s">
        <v>11</v>
      </c>
      <c r="B8">
        <v>2029</v>
      </c>
      <c r="C8">
        <v>14401388.273925699</v>
      </c>
      <c r="D8">
        <v>35808840.688000001</v>
      </c>
      <c r="E8">
        <f t="shared" si="0"/>
        <v>0.40217409994933984</v>
      </c>
      <c r="F8">
        <f t="shared" si="1"/>
        <v>1709812.1298827995</v>
      </c>
      <c r="G8">
        <f t="shared" si="3"/>
        <v>4.7748324068993542E-2</v>
      </c>
      <c r="H8">
        <v>11107632.422660099</v>
      </c>
      <c r="I8">
        <f t="shared" si="2"/>
        <v>-0.13339727141972191</v>
      </c>
    </row>
    <row r="9" spans="1:9" x14ac:dyDescent="0.35">
      <c r="A9" t="s">
        <v>12</v>
      </c>
      <c r="B9">
        <v>2030</v>
      </c>
      <c r="C9">
        <v>13084420.169384699</v>
      </c>
      <c r="D9">
        <v>35808840.688000001</v>
      </c>
      <c r="E9">
        <f t="shared" si="0"/>
        <v>0.36539636352342048</v>
      </c>
      <c r="F9">
        <f t="shared" si="1"/>
        <v>392844.02534179948</v>
      </c>
      <c r="G9">
        <f t="shared" si="3"/>
        <v>1.0970587643074181E-2</v>
      </c>
      <c r="H9">
        <v>12424600.527201099</v>
      </c>
      <c r="I9">
        <f t="shared" si="2"/>
        <v>-3.0649169086037788E-2</v>
      </c>
    </row>
    <row r="10" spans="1:9" x14ac:dyDescent="0.35">
      <c r="A10" t="s">
        <v>13</v>
      </c>
      <c r="B10">
        <v>2031</v>
      </c>
      <c r="C10">
        <v>12691576.1440429</v>
      </c>
      <c r="D10">
        <v>35808840.688000001</v>
      </c>
      <c r="E10">
        <f t="shared" si="0"/>
        <v>0.35442577587539742</v>
      </c>
      <c r="F10">
        <f t="shared" si="1"/>
        <v>0</v>
      </c>
      <c r="G10">
        <v>0</v>
      </c>
      <c r="H10">
        <v>12817444.552542901</v>
      </c>
      <c r="I10">
        <f t="shared" si="2"/>
        <v>0</v>
      </c>
    </row>
    <row r="11" spans="1:9" x14ac:dyDescent="0.35">
      <c r="A11" t="s">
        <v>14</v>
      </c>
      <c r="C11">
        <v>24754397.155675702</v>
      </c>
      <c r="D11">
        <v>35808840.688000001</v>
      </c>
      <c r="E11">
        <f>C11/D11</f>
        <v>0.69129289527575288</v>
      </c>
      <c r="F11">
        <f t="shared" si="1"/>
        <v>12062821.011632802</v>
      </c>
      <c r="G11">
        <f>E11-$E$2</f>
        <v>0.33686711939540659</v>
      </c>
      <c r="H11">
        <v>754623.54091015598</v>
      </c>
      <c r="I11">
        <f t="shared" si="2"/>
        <v>-0.94112527362090725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FF95A-5103-44A8-A361-01717069412F}">
  <dimension ref="A1:I11"/>
  <sheetViews>
    <sheetView tabSelected="1" workbookViewId="0">
      <selection activeCell="I6" sqref="I6"/>
    </sheetView>
  </sheetViews>
  <sheetFormatPr defaultRowHeight="14.5" x14ac:dyDescent="0.35"/>
  <cols>
    <col min="1" max="1" width="23.26953125" bestFit="1" customWidth="1"/>
  </cols>
  <sheetData>
    <row r="1" spans="1:9" x14ac:dyDescent="0.35">
      <c r="A1" t="s">
        <v>0</v>
      </c>
      <c r="B1" t="s">
        <v>15</v>
      </c>
      <c r="C1" t="s">
        <v>2</v>
      </c>
      <c r="D1" t="s">
        <v>3</v>
      </c>
      <c r="E1" t="s">
        <v>1</v>
      </c>
      <c r="F1" t="s">
        <v>4</v>
      </c>
      <c r="G1" t="s">
        <v>5</v>
      </c>
      <c r="H1" t="s">
        <v>17</v>
      </c>
      <c r="I1" t="s">
        <v>18</v>
      </c>
    </row>
    <row r="2" spans="1:9" x14ac:dyDescent="0.35">
      <c r="A2" t="s">
        <v>6</v>
      </c>
      <c r="C2" s="1">
        <v>11462618.430175699</v>
      </c>
      <c r="D2">
        <v>36080210.625</v>
      </c>
      <c r="E2">
        <f>C2/D2</f>
        <v>0.3176982127214425</v>
      </c>
      <c r="H2">
        <v>15008166.4500039</v>
      </c>
    </row>
    <row r="3" spans="1:9" x14ac:dyDescent="0.35">
      <c r="A3" t="s">
        <v>7</v>
      </c>
      <c r="B3">
        <v>2026</v>
      </c>
      <c r="C3">
        <v>13622618.430175699</v>
      </c>
      <c r="D3">
        <v>36080210.625</v>
      </c>
      <c r="E3">
        <f>C3/D3</f>
        <v>0.37756482554280263</v>
      </c>
      <c r="F3" s="1">
        <f>C3-$C$2</f>
        <v>2160000</v>
      </c>
      <c r="G3">
        <f>E3-$E$2</f>
        <v>5.9866612821360132E-2</v>
      </c>
      <c r="H3">
        <v>12848166.4500039</v>
      </c>
      <c r="I3">
        <f>(H3-$H$2)/$H$2</f>
        <v>-0.14392164473891739</v>
      </c>
    </row>
    <row r="4" spans="1:9" x14ac:dyDescent="0.35">
      <c r="A4" t="s">
        <v>8</v>
      </c>
      <c r="B4">
        <v>2026</v>
      </c>
      <c r="C4">
        <v>14684768.8571289</v>
      </c>
      <c r="D4">
        <v>36080210.625</v>
      </c>
      <c r="E4">
        <f t="shared" ref="E4:E11" si="0">C4/D4</f>
        <v>0.40700341275041824</v>
      </c>
      <c r="F4">
        <f t="shared" ref="F4:F11" si="1">C4-$C$2</f>
        <v>3222150.4269532003</v>
      </c>
      <c r="G4">
        <f>E4-$E$2</f>
        <v>8.930520002897574E-2</v>
      </c>
      <c r="H4">
        <v>11786016.023050699</v>
      </c>
      <c r="I4">
        <f t="shared" ref="I4:I11" si="2">(H4-$H$2)/$H$2</f>
        <v>-0.21469314307560622</v>
      </c>
    </row>
    <row r="5" spans="1:9" x14ac:dyDescent="0.35">
      <c r="A5" t="s">
        <v>16</v>
      </c>
      <c r="B5">
        <v>2026</v>
      </c>
      <c r="C5">
        <v>14047568.8571289</v>
      </c>
      <c r="D5">
        <v>36080210.625</v>
      </c>
      <c r="E5">
        <f>C5/D5</f>
        <v>0.38934276196811696</v>
      </c>
      <c r="F5">
        <f t="shared" si="1"/>
        <v>2584950.4269532003</v>
      </c>
      <c r="G5">
        <f>E5-$E$2</f>
        <v>7.164454924667446E-2</v>
      </c>
      <c r="H5">
        <v>12423216.023050699</v>
      </c>
      <c r="I5">
        <f>(H5-$H$2)/$H$2</f>
        <v>-0.17223625787762559</v>
      </c>
    </row>
    <row r="6" spans="1:9" x14ac:dyDescent="0.35">
      <c r="A6" t="s">
        <v>9</v>
      </c>
      <c r="B6">
        <v>2026</v>
      </c>
      <c r="C6">
        <v>11462618.430175699</v>
      </c>
      <c r="D6">
        <v>36080210.625</v>
      </c>
      <c r="E6">
        <f t="shared" si="0"/>
        <v>0.3176982127214425</v>
      </c>
      <c r="F6">
        <f t="shared" si="1"/>
        <v>0</v>
      </c>
      <c r="G6">
        <v>0</v>
      </c>
      <c r="H6">
        <v>15008166.4500039</v>
      </c>
      <c r="I6">
        <f t="shared" si="2"/>
        <v>0</v>
      </c>
    </row>
    <row r="7" spans="1:9" x14ac:dyDescent="0.35">
      <c r="A7" t="s">
        <v>10</v>
      </c>
      <c r="B7">
        <v>2027</v>
      </c>
      <c r="C7">
        <v>14803099.3731445</v>
      </c>
      <c r="D7">
        <v>36080210.625</v>
      </c>
      <c r="E7">
        <f>C7/D7</f>
        <v>0.41028306422600047</v>
      </c>
      <c r="F7">
        <f t="shared" si="1"/>
        <v>3340480.9429688007</v>
      </c>
      <c r="G7">
        <f>E7-$E$2</f>
        <v>9.2584851504557975E-2</v>
      </c>
      <c r="H7">
        <v>11667685.507035101</v>
      </c>
      <c r="I7">
        <f t="shared" si="2"/>
        <v>-0.22257755163475887</v>
      </c>
    </row>
    <row r="8" spans="1:9" x14ac:dyDescent="0.35">
      <c r="A8" t="s">
        <v>11</v>
      </c>
      <c r="B8">
        <v>2029</v>
      </c>
      <c r="C8">
        <v>13190618.430175699</v>
      </c>
      <c r="D8">
        <v>36080210.625</v>
      </c>
      <c r="E8">
        <f t="shared" si="0"/>
        <v>0.3655915029785306</v>
      </c>
      <c r="F8">
        <f t="shared" si="1"/>
        <v>1728000</v>
      </c>
      <c r="G8">
        <f t="shared" ref="G7:G11" si="3">E8-$E$2</f>
        <v>4.7893290257088106E-2</v>
      </c>
      <c r="H8">
        <v>13280166.4500039</v>
      </c>
      <c r="I8">
        <f t="shared" si="2"/>
        <v>-0.1151373157911339</v>
      </c>
    </row>
    <row r="9" spans="1:9" x14ac:dyDescent="0.35">
      <c r="A9" t="s">
        <v>12</v>
      </c>
      <c r="B9">
        <v>2030</v>
      </c>
      <c r="C9">
        <v>11923980.902587799</v>
      </c>
      <c r="D9">
        <v>36080210.625</v>
      </c>
      <c r="E9">
        <f>C9/D9</f>
        <v>0.33048534628912796</v>
      </c>
      <c r="F9">
        <f t="shared" si="1"/>
        <v>461362.47241210006</v>
      </c>
      <c r="G9">
        <f>E9-$E$2</f>
        <v>1.278713356768546E-2</v>
      </c>
      <c r="H9">
        <v>14546803.9775918</v>
      </c>
      <c r="I9">
        <f t="shared" si="2"/>
        <v>-3.0740761967760571E-2</v>
      </c>
    </row>
    <row r="10" spans="1:9" x14ac:dyDescent="0.35">
      <c r="A10" t="s">
        <v>13</v>
      </c>
      <c r="B10">
        <v>2031</v>
      </c>
      <c r="C10" s="1">
        <v>11462618.430175699</v>
      </c>
      <c r="D10">
        <v>36080210.625</v>
      </c>
      <c r="E10">
        <f t="shared" si="0"/>
        <v>0.3176982127214425</v>
      </c>
      <c r="F10">
        <f t="shared" si="1"/>
        <v>0</v>
      </c>
      <c r="G10">
        <v>0</v>
      </c>
      <c r="H10">
        <v>15008166.4500039</v>
      </c>
      <c r="I10">
        <f t="shared" si="2"/>
        <v>0</v>
      </c>
    </row>
    <row r="11" spans="1:9" x14ac:dyDescent="0.35">
      <c r="A11" t="s">
        <v>14</v>
      </c>
      <c r="C11">
        <v>24514179.167515598</v>
      </c>
      <c r="D11">
        <v>36080210.625</v>
      </c>
      <c r="E11">
        <f>C11/D11</f>
        <v>0.67943558928477288</v>
      </c>
      <c r="F11">
        <f t="shared" si="1"/>
        <v>13051560.737339899</v>
      </c>
      <c r="G11">
        <f>E11-$E$2</f>
        <v>0.36173737656333038</v>
      </c>
      <c r="H11">
        <v>1956605.7126640601</v>
      </c>
      <c r="I11">
        <f t="shared" si="2"/>
        <v>-0.86963059617029026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</vt:lpstr>
      <vt:lpstr>last3</vt:lpstr>
      <vt:lpstr>all_2</vt:lpstr>
      <vt:lpstr>last3_2</vt:lpstr>
      <vt:lpstr>all_3</vt:lpstr>
      <vt:lpstr>last3_3</vt:lpstr>
    </vt:vector>
  </TitlesOfParts>
  <Company>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Minoo Ashoori</dc:creator>
  <cp:lastModifiedBy>Minoo Ashoori</cp:lastModifiedBy>
  <dcterms:created xsi:type="dcterms:W3CDTF">2026-02-20T15:14:26Z</dcterms:created>
  <dcterms:modified xsi:type="dcterms:W3CDTF">2026-03-10T15:46:44Z</dcterms:modified>
</cp:coreProperties>
</file>