
<file path=[Content_Types].xml><?xml version="1.0" encoding="utf-8"?>
<Types xmlns="http://schemas.openxmlformats.org/package/2006/content-types">
  <Default Extension="bin" ContentType="application/vnd.openxmlformats-officedocument.spreadsheetml.printerSettings"/>
  <Default Extension="jfif" ContentType="image/jpeg"/>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webextensions/webextension1.xml" ContentType="application/vnd.ms-office.webextension+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Z:\6_Departments LIVE Projects\DfE Energy Group\phase2_planning\"/>
    </mc:Choice>
  </mc:AlternateContent>
  <xr:revisionPtr revIDLastSave="0" documentId="13_ncr:1_{7F8637C6-6554-4354-8516-F2D156551BF4}" xr6:coauthVersionLast="47" xr6:coauthVersionMax="47" xr10:uidLastSave="{00000000-0000-0000-0000-000000000000}"/>
  <bookViews>
    <workbookView xWindow="-110" yWindow="-110" windowWidth="19420" windowHeight="11500" xr2:uid="{7BD5E113-BDA2-4325-8AA4-1D7BF034310C}"/>
  </bookViews>
  <sheets>
    <sheet name="Overview" sheetId="1" r:id="rId1"/>
    <sheet name="Summary Table" sheetId="2" state="hidden" r:id="rId2"/>
    <sheet name="Research Submission" sheetId="9" r:id="rId3"/>
    <sheet name="Master Dataset" sheetId="11" r:id="rId4"/>
    <sheet name="Field Dictionary" sheetId="10" r:id="rId5"/>
    <sheet name="Data Quality Dashboard" sheetId="8" state="hidden" r:id="rId6"/>
    <sheet name="Ranking Calculations" sheetId="6" state="hidden" r:id="rId7"/>
    <sheet name="Background Lists" sheetId="4" state="hidden" r:id="rId8"/>
  </sheets>
  <functionGroups builtInGroupCount="19"/>
  <definedNames>
    <definedName name="_xlnm._FilterDatabase" localSheetId="4" hidden="1">'Field Dictionary'!$A$2:$A$17</definedName>
    <definedName name="_xleta.TODAY" hidden="1" xlm="1">#NAME?</definedName>
  </definedNames>
  <calcPr calcId="191029"/>
  <pivotCaches>
    <pivotCache cacheId="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47" i="11" l="1"/>
  <c r="J129" i="11"/>
  <c r="J104" i="11"/>
  <c r="J65" i="11"/>
  <c r="J45" i="11"/>
  <c r="C12" i="6" l="1"/>
  <c r="C11" i="6"/>
  <c r="C10" i="6"/>
  <c r="C9" i="6"/>
  <c r="C8" i="6"/>
  <c r="C7" i="6"/>
  <c r="C6" i="6"/>
  <c r="C5" i="6"/>
  <c r="C4" i="6"/>
  <c r="F6" i="8"/>
  <c r="B6" i="8"/>
  <c r="D7" i="6" l="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<sst xmlns="http://schemas.openxmlformats.org/spreadsheetml/2006/main" count="2271" uniqueCount="572">
  <si>
    <t>Data Owner</t>
  </si>
  <si>
    <t>Data Owner Category</t>
  </si>
  <si>
    <t>Format</t>
  </si>
  <si>
    <t>Spatial Coverage</t>
  </si>
  <si>
    <t>Metadata</t>
  </si>
  <si>
    <t>Link</t>
  </si>
  <si>
    <t>Tags</t>
  </si>
  <si>
    <t>Update Frequency</t>
  </si>
  <si>
    <t>Update Frequency Code</t>
  </si>
  <si>
    <t>Meaning</t>
  </si>
  <si>
    <t>D</t>
  </si>
  <si>
    <t>Daily</t>
  </si>
  <si>
    <t>M</t>
  </si>
  <si>
    <t>B</t>
  </si>
  <si>
    <t>AN</t>
  </si>
  <si>
    <t>W</t>
  </si>
  <si>
    <t>Q</t>
  </si>
  <si>
    <t>NP</t>
  </si>
  <si>
    <t>Monthly</t>
  </si>
  <si>
    <t>Weekly</t>
  </si>
  <si>
    <t>Quaterly</t>
  </si>
  <si>
    <t>BiAnnually</t>
  </si>
  <si>
    <t xml:space="preserve">Annually </t>
  </si>
  <si>
    <t>A</t>
  </si>
  <si>
    <t>As Needed</t>
  </si>
  <si>
    <t>Not Planned</t>
  </si>
  <si>
    <t>XLXS</t>
  </si>
  <si>
    <t>CSV</t>
  </si>
  <si>
    <t>geoJSON</t>
  </si>
  <si>
    <t>ESRI Shapefile</t>
  </si>
  <si>
    <t>ESRI GDB</t>
  </si>
  <si>
    <t>Rest/OGC</t>
  </si>
  <si>
    <t>Sharing Status</t>
  </si>
  <si>
    <t>Open Data</t>
  </si>
  <si>
    <t>Internal Only</t>
  </si>
  <si>
    <t>Project Specific</t>
  </si>
  <si>
    <t>Government/Public Body</t>
  </si>
  <si>
    <t>Academia</t>
  </si>
  <si>
    <t>Utility</t>
  </si>
  <si>
    <t>Lobby Group</t>
  </si>
  <si>
    <t>Private Company</t>
  </si>
  <si>
    <t>Name</t>
  </si>
  <si>
    <t>LGD2014</t>
  </si>
  <si>
    <t>DEA2014</t>
  </si>
  <si>
    <t>SDZ2021</t>
  </si>
  <si>
    <t>DZ2020</t>
  </si>
  <si>
    <t>Ward2014</t>
  </si>
  <si>
    <t>PC2023</t>
  </si>
  <si>
    <t>HSCT</t>
  </si>
  <si>
    <t>ELB</t>
  </si>
  <si>
    <t>LGD1992</t>
  </si>
  <si>
    <t>SOA2011</t>
  </si>
  <si>
    <t>SA2011</t>
  </si>
  <si>
    <t>Northern Ireland</t>
  </si>
  <si>
    <t>County Level</t>
  </si>
  <si>
    <t>Exact Location</t>
  </si>
  <si>
    <t>Local Government Districts</t>
  </si>
  <si>
    <t>District Electoral Areas</t>
  </si>
  <si>
    <t>Super Data Zones</t>
  </si>
  <si>
    <t>Data Zones</t>
  </si>
  <si>
    <t>Wards</t>
  </si>
  <si>
    <t>Parliamentary Constituencies</t>
  </si>
  <si>
    <t>Health &amp; Social Care Trusts</t>
  </si>
  <si>
    <t>Education &amp; Library Boards</t>
  </si>
  <si>
    <t>Local Government Districts (Old)</t>
  </si>
  <si>
    <t>Super Output Areas</t>
  </si>
  <si>
    <t>Small Areas</t>
  </si>
  <si>
    <t>Restricted Areas</t>
  </si>
  <si>
    <t>Hydrogen</t>
  </si>
  <si>
    <t>Solar</t>
  </si>
  <si>
    <t>Onshore Wind</t>
  </si>
  <si>
    <t>Offshore Wind</t>
  </si>
  <si>
    <t>Biofuels</t>
  </si>
  <si>
    <t>Heat Pump</t>
  </si>
  <si>
    <t>Renewable Energy Infrastructure</t>
  </si>
  <si>
    <t>Non-Energy Related Infrastructure</t>
  </si>
  <si>
    <t>Boundaries</t>
  </si>
  <si>
    <t>Link to Source</t>
  </si>
  <si>
    <t>Renewable Energy Planning Database (REPD)</t>
  </si>
  <si>
    <t>DESNZ</t>
  </si>
  <si>
    <t>Renewable Energy Planning Applications</t>
  </si>
  <si>
    <t>UK</t>
  </si>
  <si>
    <t>Unknown</t>
  </si>
  <si>
    <t>U</t>
  </si>
  <si>
    <t>DfI</t>
  </si>
  <si>
    <t>NI</t>
  </si>
  <si>
    <t>Council Area</t>
  </si>
  <si>
    <t>ROI</t>
  </si>
  <si>
    <t>All-Island</t>
  </si>
  <si>
    <t>EU</t>
  </si>
  <si>
    <t>OSNI</t>
  </si>
  <si>
    <t>NIMA</t>
  </si>
  <si>
    <t>Consumption</t>
  </si>
  <si>
    <t>Generation</t>
  </si>
  <si>
    <t>Pre-Planning Statistics</t>
  </si>
  <si>
    <t>RenewablesNI</t>
  </si>
  <si>
    <t>Renewable Electricity Installed Capacity</t>
  </si>
  <si>
    <t>Regional Renewable Installs</t>
  </si>
  <si>
    <t>Regional Load Factors</t>
  </si>
  <si>
    <t>Regional Generation Statistics</t>
  </si>
  <si>
    <t>Global Solar Atlas</t>
  </si>
  <si>
    <t>Tiff</t>
  </si>
  <si>
    <t>SolarGIS</t>
  </si>
  <si>
    <t>Global Wind Atlas</t>
  </si>
  <si>
    <t>Regional Gas Consumption 2015-2023</t>
  </si>
  <si>
    <t>Row Labels</t>
  </si>
  <si>
    <t>Grand Total</t>
  </si>
  <si>
    <t>(All)</t>
  </si>
  <si>
    <t>Domestic Electricity Consumption</t>
  </si>
  <si>
    <t>Available from OSNI</t>
  </si>
  <si>
    <t>Fuel Poverty</t>
  </si>
  <si>
    <t>NIHE</t>
  </si>
  <si>
    <t>Socioeconomic</t>
  </si>
  <si>
    <t>Domestic Energy Expenditure</t>
  </si>
  <si>
    <t>CCNI</t>
  </si>
  <si>
    <t>PDF</t>
  </si>
  <si>
    <t>Business Energy Prices</t>
  </si>
  <si>
    <t>NISRA</t>
  </si>
  <si>
    <t>XLSX</t>
  </si>
  <si>
    <t>Total Final Energy Consumption</t>
  </si>
  <si>
    <t>Emissions</t>
  </si>
  <si>
    <t>Greenhouse Gas Projections</t>
  </si>
  <si>
    <t>DEARA</t>
  </si>
  <si>
    <t>Included in download link</t>
  </si>
  <si>
    <t xml:space="preserve">Overview </t>
  </si>
  <si>
    <t xml:space="preserve">Link </t>
  </si>
  <si>
    <t>Upon Request</t>
  </si>
  <si>
    <t>HED GIS Layers</t>
  </si>
  <si>
    <t>DfC</t>
  </si>
  <si>
    <t>Peatlands - Priority Habitat</t>
  </si>
  <si>
    <t>Natural Environment</t>
  </si>
  <si>
    <t>Heathland - Priority Habitat</t>
  </si>
  <si>
    <t>Fens - Priority Habitat</t>
  </si>
  <si>
    <t>Woodland - Priority Habitat</t>
  </si>
  <si>
    <t>Grassland - Priority Habitat</t>
  </si>
  <si>
    <t>NIEA</t>
  </si>
  <si>
    <t>State Forestry</t>
  </si>
  <si>
    <t>Forest Service</t>
  </si>
  <si>
    <t>Rating</t>
  </si>
  <si>
    <t>Comments</t>
  </si>
  <si>
    <t>NIE Capactior Banks</t>
  </si>
  <si>
    <t>NIE Circuit Breakers</t>
  </si>
  <si>
    <t>NIE Distribution Tap Changers</t>
  </si>
  <si>
    <t>NIE Earthing Transformers</t>
  </si>
  <si>
    <t>NIE Liquid Neutral Earthing Resistors (LNERs)</t>
  </si>
  <si>
    <t>NIE LV Switchgear</t>
  </si>
  <si>
    <t>NIE Metaclad Switchgear</t>
  </si>
  <si>
    <t>NIE Power Flow Controllers</t>
  </si>
  <si>
    <t>NIE Primary Transformers</t>
  </si>
  <si>
    <t>NIE Secondary Transformers</t>
  </si>
  <si>
    <t>NIE Bulk Supply Points</t>
  </si>
  <si>
    <t>NIE Grid Bulk and Primary Sites</t>
  </si>
  <si>
    <t>NIE Grid Supply Points</t>
  </si>
  <si>
    <t>NIE Primary Substations</t>
  </si>
  <si>
    <t>NIE Transmission Circuit Breakers</t>
  </si>
  <si>
    <t>NIE Transmission Switchgear</t>
  </si>
  <si>
    <t>NIE Transmission Transformers</t>
  </si>
  <si>
    <t>NIE Dataset of Datesets</t>
  </si>
  <si>
    <t>NIE Live Network Faults</t>
  </si>
  <si>
    <t>NIE Assets All</t>
  </si>
  <si>
    <t>NIE</t>
  </si>
  <si>
    <t>Not Applicable</t>
  </si>
  <si>
    <t>NA</t>
  </si>
  <si>
    <t>Spatial Scale Code</t>
  </si>
  <si>
    <t>OSNI Pointer</t>
  </si>
  <si>
    <t>Current</t>
  </si>
  <si>
    <t>LPS Property Data</t>
  </si>
  <si>
    <t>OSNI Orthophotography</t>
  </si>
  <si>
    <t>OSNI 4 Band Near Infr-Red Orthophotography</t>
  </si>
  <si>
    <t>OSNI Enhanced Digital Terrain Model</t>
  </si>
  <si>
    <t xml:space="preserve">OSNI Digital Surface Model </t>
  </si>
  <si>
    <t>OSNI Histroical Mapping</t>
  </si>
  <si>
    <t>OSNI Fusion</t>
  </si>
  <si>
    <t>Bathymetric LiDar</t>
  </si>
  <si>
    <t>Satellite Derived Bathymetry</t>
  </si>
  <si>
    <t>Coastal Bedrock Geology</t>
  </si>
  <si>
    <t>Historic Shoreline Analysis</t>
  </si>
  <si>
    <t>NI First Order Cells Delineation</t>
  </si>
  <si>
    <t>Coastal Superficial Geology</t>
  </si>
  <si>
    <t>Coastal Change Information Tool</t>
  </si>
  <si>
    <t>Met Office</t>
  </si>
  <si>
    <t>UKCP18 Probalistic Projections by UK Countries for 1961-2100</t>
  </si>
  <si>
    <t>UKCP projected future extreme sea levels at approximately 2 km spacing around the UK coastline for 2020-2300, using exploratory extended time-mean sea level projections</t>
  </si>
  <si>
    <t>Climate Change</t>
  </si>
  <si>
    <t>UKCP09: Met Office regional land surface climate observations - long term averages for administrative regions and river basins</t>
  </si>
  <si>
    <t>TXT</t>
  </si>
  <si>
    <t>JPG</t>
  </si>
  <si>
    <t>Copernicus Satellite Data</t>
  </si>
  <si>
    <t>Copernicus</t>
  </si>
  <si>
    <t>Local Government Districts 2012</t>
  </si>
  <si>
    <t>OSNI Fusion Road Network</t>
  </si>
  <si>
    <t>Special Areas of Conservation (SAC)</t>
  </si>
  <si>
    <t>Areas of Outstanding Natural Beauty (AONB)</t>
  </si>
  <si>
    <t>Special Protection Areas (SPA)</t>
  </si>
  <si>
    <t>Areas of Special Scientific Interest (ASSI)</t>
  </si>
  <si>
    <t>RAMSAR Sites</t>
  </si>
  <si>
    <t>Marine Protected Areas (MPAs)</t>
  </si>
  <si>
    <t>IUCN Key Biodiversity Areas</t>
  </si>
  <si>
    <t>IUCN</t>
  </si>
  <si>
    <t>Important Bird Areas</t>
  </si>
  <si>
    <t>Bird Life</t>
  </si>
  <si>
    <t>European Environment Agency</t>
  </si>
  <si>
    <t>Combined effects of land-based pressures on maine species and habitats in Europe's seas</t>
  </si>
  <si>
    <t>thinkBroadband</t>
  </si>
  <si>
    <t>DBEIS</t>
  </si>
  <si>
    <t>UK Local Authority and Regional Carbon Dioxide Emissions</t>
  </si>
  <si>
    <t>Speed Tests (broadband and mobile together)</t>
  </si>
  <si>
    <t>Website</t>
  </si>
  <si>
    <t>UK Air Information Resource</t>
  </si>
  <si>
    <t>DEFRA</t>
  </si>
  <si>
    <t>PC08</t>
  </si>
  <si>
    <t>Migration and other changes (NISRA Components of Population Change)</t>
  </si>
  <si>
    <t>Employment Rate</t>
  </si>
  <si>
    <t>Koppen-Geiger Climate Classification</t>
  </si>
  <si>
    <t>Mid Year Population Estimtes</t>
  </si>
  <si>
    <t>ESRI</t>
  </si>
  <si>
    <t xml:space="preserve">Geospatial Energy Analysis and Renewable Systems </t>
  </si>
  <si>
    <t>1. Overview</t>
  </si>
  <si>
    <t>2. Summary Tables</t>
  </si>
  <si>
    <t>3. Master Dataset</t>
  </si>
  <si>
    <r>
      <t>Accuracy:</t>
    </r>
    <r>
      <rPr>
        <sz val="11"/>
        <color rgb="FF001D35"/>
        <rFont val="Arial"/>
        <family val="2"/>
      </rPr>
      <t> How closely the data matches the true or expected values. </t>
    </r>
  </si>
  <si>
    <r>
      <t>Completeness:</t>
    </r>
    <r>
      <rPr>
        <sz val="11"/>
        <color rgb="FF001D35"/>
        <rFont val="Arial"/>
        <family val="2"/>
      </rPr>
      <t> Whether all required data is present. </t>
    </r>
  </si>
  <si>
    <r>
      <t>Consistency:</t>
    </r>
    <r>
      <rPr>
        <sz val="11"/>
        <color rgb="FF001D35"/>
        <rFont val="Arial"/>
        <family val="2"/>
      </rPr>
      <t> Whether data is consistent across different datasets and systems. </t>
    </r>
  </si>
  <si>
    <r>
      <t>Timeliness:</t>
    </r>
    <r>
      <rPr>
        <sz val="11"/>
        <color rgb="FF001D35"/>
        <rFont val="Arial"/>
        <family val="2"/>
      </rPr>
      <t> How up-to-date the data is. </t>
    </r>
  </si>
  <si>
    <r>
      <t>Relevance:</t>
    </r>
    <r>
      <rPr>
        <sz val="11"/>
        <color rgb="FF001D35"/>
        <rFont val="Arial"/>
        <family val="2"/>
      </rPr>
      <t> Whether the data is relevant to the specific needs and objectives. </t>
    </r>
  </si>
  <si>
    <r>
      <t>Reliability:</t>
    </r>
    <r>
      <rPr>
        <sz val="11"/>
        <color rgb="FF001D35"/>
        <rFont val="Arial"/>
        <family val="2"/>
      </rPr>
      <t> The dependability of the data over time. </t>
    </r>
  </si>
  <si>
    <r>
      <t>Uniqueness:</t>
    </r>
    <r>
      <rPr>
        <sz val="11"/>
        <color rgb="FF001D35"/>
        <rFont val="Arial"/>
        <family val="2"/>
      </rPr>
      <t> Ensuring that each piece of data is distinct and not duplicated. </t>
    </r>
  </si>
  <si>
    <r>
      <t>Validity:</t>
    </r>
    <r>
      <rPr>
        <sz val="11"/>
        <color rgb="FF001D35"/>
        <rFont val="Arial"/>
        <family val="2"/>
      </rPr>
      <t> Whether the data is within the expected range or format. </t>
    </r>
  </si>
  <si>
    <r>
      <t>Integrity:</t>
    </r>
    <r>
      <rPr>
        <sz val="11"/>
        <color rgb="FF001D35"/>
        <rFont val="Arial"/>
        <family val="2"/>
      </rPr>
      <t> Ensuring that the data is accurate and has not been altered or corrupted. </t>
    </r>
  </si>
  <si>
    <t>Parameter</t>
  </si>
  <si>
    <t>2-3 years</t>
  </si>
  <si>
    <t>5-7 years</t>
  </si>
  <si>
    <t>Score</t>
  </si>
  <si>
    <t>Weight</t>
  </si>
  <si>
    <t>Further Education Sector Activities</t>
  </si>
  <si>
    <t>DfE</t>
  </si>
  <si>
    <t>ApprenticeshipNI Statistics</t>
  </si>
  <si>
    <t>Enrolments at UK Higher Education Institutions: Northern Ireland Analysis</t>
  </si>
  <si>
    <t>EPC Data</t>
  </si>
  <si>
    <t>Solar PV (GIA)</t>
  </si>
  <si>
    <t>Solar PV (Ulster University)</t>
  </si>
  <si>
    <t>Global Essemble DTM 30m</t>
  </si>
  <si>
    <t>Open Land Map</t>
  </si>
  <si>
    <t>Better Open Data</t>
  </si>
  <si>
    <t>Highly inaccurate</t>
  </si>
  <si>
    <t>Some errors but partially usable</t>
  </si>
  <si>
    <t>Moderate errors; acceptable for general use</t>
  </si>
  <si>
    <t>Mostly accurate with minor inconsistencies</t>
  </si>
  <si>
    <t>Verfied and percise</t>
  </si>
  <si>
    <t>Major gaps; missing key information</t>
  </si>
  <si>
    <t>Incomplete but usable</t>
  </si>
  <si>
    <t>Some missing data but functional</t>
  </si>
  <si>
    <t>Mostly complete with only minor omissions</t>
  </si>
  <si>
    <t>Fully complete</t>
  </si>
  <si>
    <t>Confliting data values across sources; no standardisation</t>
  </si>
  <si>
    <t>Some inconsistencies; not fully aligned across datasets</t>
  </si>
  <si>
    <t xml:space="preserve">Mostly consistent </t>
  </si>
  <si>
    <t>Strong consistency with rare issues</t>
  </si>
  <si>
    <t>Fully consistent across datasets and formats</t>
  </si>
  <si>
    <t>Severly outdated; not sueful for current decisions (7+ years)</t>
  </si>
  <si>
    <t>Updated occassionaly (3-5 years)</t>
  </si>
  <si>
    <t>1 -  Very Poor</t>
  </si>
  <si>
    <t>2 - Poor</t>
  </si>
  <si>
    <t>3 - Fair</t>
  </si>
  <si>
    <t>4 - Good</t>
  </si>
  <si>
    <t>5 - Excellent</t>
  </si>
  <si>
    <t>Justification</t>
  </si>
  <si>
    <t>Real-time, near-time or current year</t>
  </si>
  <si>
    <t>Not relevant for intended use</t>
  </si>
  <si>
    <t>Limited relevance; lacks key aspects/information</t>
  </si>
  <si>
    <t>Moderately relevant</t>
  </si>
  <si>
    <t>Mostly relevant; serves purpose well</t>
  </si>
  <si>
    <t>Highlight relevant; fully aligned with needs</t>
  </si>
  <si>
    <t>Untrustworthy source; prone to errors/bias</t>
  </si>
  <si>
    <t>Occasionaly unreliable</t>
  </si>
  <si>
    <t>Moderately reliable but needs verfication</t>
  </si>
  <si>
    <t>Generally reliable; minor inconsistencies</t>
  </si>
  <si>
    <t>Reliable and verified source</t>
  </si>
  <si>
    <t>Redundant, duplicated data (UK Level +)</t>
  </si>
  <si>
    <t>Little unique data (NI Level)</t>
  </si>
  <si>
    <t>Partially unique but still some redundancy (LGD/PC)</t>
  </si>
  <si>
    <t>Mostely unique with minimal overlap (SDZ/DZ)</t>
  </si>
  <si>
    <t>Distinct data (Exact Location)</t>
  </si>
  <si>
    <t>Data is in an incorrect format or structure</t>
  </si>
  <si>
    <t>Some invalid entries and errors in structure</t>
  </si>
  <si>
    <t>Mostly valid but requires some data cleansing</t>
  </si>
  <si>
    <t>Mostly valid with rare formatting issues</t>
  </si>
  <si>
    <t>Fully valid; adheres to all required formats and standards</t>
  </si>
  <si>
    <t>High risk of manipulation (Lobby Company)</t>
  </si>
  <si>
    <t>Some integrity issues; prone to unauthorised changes</t>
  </si>
  <si>
    <t>Moderately secure but could be improved</t>
  </si>
  <si>
    <t>Strong integrity with minimal risk (Academia)</t>
  </si>
  <si>
    <t xml:space="preserve"> Protected against manipulation and unauthorised changes; audit trail available (Government/Public Body/Utility)</t>
  </si>
  <si>
    <t xml:space="preserve">Essential for decision making and trust in results </t>
  </si>
  <si>
    <t>Missing data reduces usability and reliability</t>
  </si>
  <si>
    <t>Inconsistencies can cause confusion and errors</t>
  </si>
  <si>
    <t>Data must be relevant to current environment</t>
  </si>
  <si>
    <t>Irrelevant data introduces unneccessary noise</t>
  </si>
  <si>
    <t>Data must come from a trustworthy source</t>
  </si>
  <si>
    <t>Avoiding duplicate data reduces redundancy</t>
  </si>
  <si>
    <t>Ensures correct formatting and adherence to standards</t>
  </si>
  <si>
    <t>Protects against unauthorised changes and corruption</t>
  </si>
  <si>
    <t>{ (vairable score * weight)</t>
  </si>
  <si>
    <t>&lt; 1.9</t>
  </si>
  <si>
    <t>Very Poor</t>
  </si>
  <si>
    <t>4.0-4.4</t>
  </si>
  <si>
    <t>4.5-5.9</t>
  </si>
  <si>
    <t>3.0-3.9</t>
  </si>
  <si>
    <t>2.0-2.9</t>
  </si>
  <si>
    <t>Poor</t>
  </si>
  <si>
    <t>Fair</t>
  </si>
  <si>
    <t>Good</t>
  </si>
  <si>
    <t>Excellent</t>
  </si>
  <si>
    <t>(x*0.2)+(x*0.15)+(x*0.1)+(x*0.1)+(x*0.1)+(x*0.1)+(x*0.05)+(x*0.1)+(x*10)</t>
  </si>
  <si>
    <t>Rank</t>
  </si>
  <si>
    <t>Accuracy</t>
  </si>
  <si>
    <t>Completeness</t>
  </si>
  <si>
    <t>Consistency</t>
  </si>
  <si>
    <t>Overall Score</t>
  </si>
  <si>
    <t>Timeliness</t>
  </si>
  <si>
    <t>Relevance</t>
  </si>
  <si>
    <t>Reliability</t>
  </si>
  <si>
    <t>Uniqueness</t>
  </si>
  <si>
    <t>Validity</t>
  </si>
  <si>
    <t>Integrity</t>
  </si>
  <si>
    <t>Network Grid</t>
  </si>
  <si>
    <t>GEARS: Data Quality Dashboard</t>
  </si>
  <si>
    <t>Average Data Quality Score</t>
  </si>
  <si>
    <t>Number of Datasets</t>
  </si>
  <si>
    <t>DLR Institute of Networked Energy Systems</t>
  </si>
  <si>
    <t>SciGrid Gas Network</t>
  </si>
  <si>
    <t>ENTSO-E map - Electricity Grid</t>
  </si>
  <si>
    <t>ENTSO-E</t>
  </si>
  <si>
    <t>Hydrogen Infrastructure Map</t>
  </si>
  <si>
    <t>ENTSO-G</t>
  </si>
  <si>
    <t>System Capacity Map</t>
  </si>
  <si>
    <t xml:space="preserve">ENSTO-G Capacity </t>
  </si>
  <si>
    <t>Gas</t>
  </si>
  <si>
    <t>European Gas Flow Dashboard</t>
  </si>
  <si>
    <t>European Gas Storage Dashboard</t>
  </si>
  <si>
    <t>United Kingdom</t>
  </si>
  <si>
    <t>Global</t>
  </si>
  <si>
    <t>UK and Surrounding EU Coastline</t>
  </si>
  <si>
    <t>Oil and Gas Authority</t>
  </si>
  <si>
    <t>Sub-national Residual Fuel Consumption</t>
  </si>
  <si>
    <t>Road Transport Energy Consumption in the UK</t>
  </si>
  <si>
    <t>Northern Ireland's GHG Inventory by source (1990-2022)</t>
  </si>
  <si>
    <t>National Atmospheric Emissions Inventory</t>
  </si>
  <si>
    <t>UK Greenhouse Gas Emissions</t>
  </si>
  <si>
    <t>1:250k Geological Maps</t>
  </si>
  <si>
    <t>GSNI</t>
  </si>
  <si>
    <t>Northern Ireland Bedrock Geology Polygons</t>
  </si>
  <si>
    <t xml:space="preserve">Northern Ireland Superficial Geology Polygons </t>
  </si>
  <si>
    <t>Real Time System Information</t>
  </si>
  <si>
    <t>SONI</t>
  </si>
  <si>
    <t>System and Renewable Data Summary</t>
  </si>
  <si>
    <t>Waste Heat Point Sources</t>
  </si>
  <si>
    <t>ReUseHeat</t>
  </si>
  <si>
    <t>District Heating Areas</t>
  </si>
  <si>
    <t>Tidal Data</t>
  </si>
  <si>
    <t>Tidal</t>
  </si>
  <si>
    <t>Wave Data</t>
  </si>
  <si>
    <t>UK Renewables Atlas</t>
  </si>
  <si>
    <t>Last Updated/Published</t>
  </si>
  <si>
    <t>Cloud Optimised DTMs (specific areas)</t>
  </si>
  <si>
    <t xml:space="preserve">Most Recent Version </t>
  </si>
  <si>
    <t>First Available Version</t>
  </si>
  <si>
    <t>Natural Environment, Boundaries, Hydrogen</t>
  </si>
  <si>
    <t xml:space="preserve">Spatial Scale </t>
  </si>
  <si>
    <t xml:space="preserve">Tags </t>
  </si>
  <si>
    <t>Consumption, Network Grid</t>
  </si>
  <si>
    <t>Network Grid, Onshore Wind</t>
  </si>
  <si>
    <t>Network Grid, Consumption</t>
  </si>
  <si>
    <t>Onshore Wind, Offshore Wind, Generation</t>
  </si>
  <si>
    <t>Solar, Generation</t>
  </si>
  <si>
    <t>Gas, Consumption</t>
  </si>
  <si>
    <t>Non-Energy Related Infrastructure, Natural Environment</t>
  </si>
  <si>
    <t xml:space="preserve">When filtering by Spatial Scale and Tags within the Master Dataset, please use the Text Filter and "contains" parameter. </t>
  </si>
  <si>
    <t>PC08, LGD2014, HSCT, DEA2014</t>
  </si>
  <si>
    <t>PC2023, LGD2014, HSCT</t>
  </si>
  <si>
    <t>PC08, LGD2014, LGD1992</t>
  </si>
  <si>
    <t>sEEnergies</t>
  </si>
  <si>
    <t>Industrial sites with quantified annual excess heat volumns within main sectors</t>
  </si>
  <si>
    <t>UA Heat Sources</t>
  </si>
  <si>
    <t>Socioeconomic, Boundaries</t>
  </si>
  <si>
    <t>Boundaries, Generation</t>
  </si>
  <si>
    <t>Consumption, Boundaries</t>
  </si>
  <si>
    <t xml:space="preserve">Time series (1990, 2000, 2015) of population, populated area and population weighted distance from residential urban centres. </t>
  </si>
  <si>
    <t>Urban Areas with assessment of the potentials for supply with district heating in future</t>
  </si>
  <si>
    <t>Heat Pump, Generation</t>
  </si>
  <si>
    <t>Available excess heat from WWTP ReUseHeat</t>
  </si>
  <si>
    <t>Non-Energy Related Infrastructure, Boundaries</t>
  </si>
  <si>
    <t>Inter Urban Distances</t>
  </si>
  <si>
    <t>Urban Area Centre Points</t>
  </si>
  <si>
    <t>Building Energy Informatics</t>
  </si>
  <si>
    <t xml:space="preserve">Energy Group Research Project </t>
  </si>
  <si>
    <t xml:space="preserve">Socioeconomic, Energy Group Research Project </t>
  </si>
  <si>
    <t xml:space="preserve">Generation, Energy Group Research Project </t>
  </si>
  <si>
    <t>E Drive</t>
  </si>
  <si>
    <t>District Heating Categories</t>
  </si>
  <si>
    <t xml:space="preserve">Heating </t>
  </si>
  <si>
    <t xml:space="preserve">Energy Group Research Project , Heating </t>
  </si>
  <si>
    <t>SA2011, SOA2011</t>
  </si>
  <si>
    <t>Median District Heating Potential (MWh)</t>
  </si>
  <si>
    <t>District Heating Potential (MWh)</t>
  </si>
  <si>
    <t>District Heating TJ per km2</t>
  </si>
  <si>
    <t>Domestic District Heating Potential with Heat Sources</t>
  </si>
  <si>
    <t>Groundwater Heat Pump Polygons</t>
  </si>
  <si>
    <t xml:space="preserve">Non-domestic CO2 Emmissions </t>
  </si>
  <si>
    <t xml:space="preserve">Emissions, Energy Group Research Project </t>
  </si>
  <si>
    <t>Non-domestic District Heating Potenital TJ per km2</t>
  </si>
  <si>
    <t>Non-domestic District Heating Potenital with Heat Sources</t>
  </si>
  <si>
    <t xml:space="preserve">Non-domestic Energy Potential </t>
  </si>
  <si>
    <t>Energy Group Research Project , Heating , Generation</t>
  </si>
  <si>
    <t>Non-domestic Heat Demand Visualisation kWh m2</t>
  </si>
  <si>
    <t xml:space="preserve">Consumption, Energy Group Research Project , Heating </t>
  </si>
  <si>
    <t>Whole Sale Electricity Prices</t>
  </si>
  <si>
    <t>EMBER</t>
  </si>
  <si>
    <t>n/a</t>
  </si>
  <si>
    <t>EC JRC</t>
  </si>
  <si>
    <t>Storage Inventory Map</t>
  </si>
  <si>
    <t>Listed Buildings</t>
  </si>
  <si>
    <t>Biogas Map</t>
  </si>
  <si>
    <t>01.04.2024</t>
  </si>
  <si>
    <t>Alder BioInsights</t>
  </si>
  <si>
    <t>Renewable Energy Infrastructure, Biofuels, Gas</t>
  </si>
  <si>
    <t>Solar, Renewable Energy Infrastructure, Onshore Wind, Offshore Wind</t>
  </si>
  <si>
    <t>Urban Areas with heat demands, classified by heat demand and efficiency potentials</t>
  </si>
  <si>
    <t>Transport EEPotentials 2050 PJ</t>
  </si>
  <si>
    <t>Transport</t>
  </si>
  <si>
    <t>Consumption, Transport</t>
  </si>
  <si>
    <t>Non-Energy Related Infrastructure, Transport</t>
  </si>
  <si>
    <t>Urban Areas (UA) with cycling potential</t>
  </si>
  <si>
    <t>E-road Routes</t>
  </si>
  <si>
    <t>Electricity</t>
  </si>
  <si>
    <t>Non-Energy Related Infrastructure, Transport, Electricity</t>
  </si>
  <si>
    <t>E-road Routes (buffers)</t>
  </si>
  <si>
    <t>Heat demand 2015 by HDD by PSD Peta5 0</t>
  </si>
  <si>
    <t xml:space="preserve">Consumption, Heating </t>
  </si>
  <si>
    <t>sEEnergies Index</t>
  </si>
  <si>
    <t>Industry BAT 2015 Contour</t>
  </si>
  <si>
    <t>Industry</t>
  </si>
  <si>
    <t>Consumption, Industry</t>
  </si>
  <si>
    <t>Excess Heat District Heating 2015 Contour</t>
  </si>
  <si>
    <t>Urban Area Climate</t>
  </si>
  <si>
    <t>Urban Area Slope (averages)</t>
  </si>
  <si>
    <t>Geothermal Mapping</t>
  </si>
  <si>
    <t>Geo DH</t>
  </si>
  <si>
    <t xml:space="preserve">Geothermal </t>
  </si>
  <si>
    <t xml:space="preserve">Natural Environment, Geothermal </t>
  </si>
  <si>
    <t>Substations Capacity</t>
  </si>
  <si>
    <t>Electricity, Network Grid</t>
  </si>
  <si>
    <t>Off Gas Postcode Register</t>
  </si>
  <si>
    <t>Gas, Network Grid</t>
  </si>
  <si>
    <t>xoServe</t>
  </si>
  <si>
    <t>National Charge Point Register</t>
  </si>
  <si>
    <t>Department for Transport</t>
  </si>
  <si>
    <t>Network Grid, Electricity</t>
  </si>
  <si>
    <t>Renewable Energy Infrastructure, Heat Pump, Solar, Onshore Wind</t>
  </si>
  <si>
    <t>MSC Data Dashboard</t>
  </si>
  <si>
    <t>MSC</t>
  </si>
  <si>
    <t>NAEI Point Sources</t>
  </si>
  <si>
    <t>Heat Networks Planning Database</t>
  </si>
  <si>
    <t>Heat Pump, Network Grid</t>
  </si>
  <si>
    <t>Electricity Generation Costs</t>
  </si>
  <si>
    <t>Socioeconomic, Renewable Energy Infrastructure, Generation</t>
  </si>
  <si>
    <t>Mineral Resources</t>
  </si>
  <si>
    <t>Non-Renewables</t>
  </si>
  <si>
    <t>Natural Environment, Non-Renewables</t>
  </si>
  <si>
    <t>UK Hydrographic Office Maritime Limits and Boundaries</t>
  </si>
  <si>
    <t>UK Hydrographic Office</t>
  </si>
  <si>
    <t>Wrecks and Obstructions</t>
  </si>
  <si>
    <t>Coastal</t>
  </si>
  <si>
    <t>Natural Environment, Boundaries, Coastal</t>
  </si>
  <si>
    <t>UK EEZ Sea Surface Temperature</t>
  </si>
  <si>
    <t>UK EEZ Salinity</t>
  </si>
  <si>
    <t>UK EEZ Mixed Layer Depth</t>
  </si>
  <si>
    <t>UK EEZ Ships' Routing Measures</t>
  </si>
  <si>
    <t>Climate Change, Coastal, Natural Environment, Tidal</t>
  </si>
  <si>
    <t>Coastal, Natural Environment, Tidal</t>
  </si>
  <si>
    <t>Coastal, Transport, Tidal</t>
  </si>
  <si>
    <t>Master Dataset</t>
  </si>
  <si>
    <t>Email</t>
  </si>
  <si>
    <t>Team</t>
  </si>
  <si>
    <t>Aims and Objectives</t>
  </si>
  <si>
    <t xml:space="preserve">Please provide a detailed description of the project's aims and objectives with any necessary context. </t>
  </si>
  <si>
    <t>ID</t>
  </si>
  <si>
    <t>Research Question</t>
  </si>
  <si>
    <t>Research Requirements</t>
  </si>
  <si>
    <t>Data</t>
  </si>
  <si>
    <t>Data File Name</t>
  </si>
  <si>
    <t>Source (if known please provide link)</t>
  </si>
  <si>
    <t>Is data already held?</t>
  </si>
  <si>
    <t>Purpose of Use</t>
  </si>
  <si>
    <t>Additional Notes</t>
  </si>
  <si>
    <t>Form Lists</t>
  </si>
  <si>
    <t>Yes</t>
  </si>
  <si>
    <t>No</t>
  </si>
  <si>
    <t>Unsure</t>
  </si>
  <si>
    <t>Dataset Name</t>
  </si>
  <si>
    <t>Geographic Focus</t>
  </si>
  <si>
    <t xml:space="preserve">If other, please specify </t>
  </si>
  <si>
    <t>Preferred Output</t>
  </si>
  <si>
    <t>Circulation of Output</t>
  </si>
  <si>
    <t>Output Requirements</t>
  </si>
  <si>
    <t>Required by Date</t>
  </si>
  <si>
    <t xml:space="preserve">We will endeavour to meet any required deadline, however, please know that the actual data of delivery will have a dependence on the quality and timely supply of data and availability of staff. </t>
  </si>
  <si>
    <t>Additional Information</t>
  </si>
  <si>
    <t>Selected Date:</t>
  </si>
  <si>
    <t>This document is under development and may change as needed. Please provide feedback to katie.tener@economy-ni.gov.uk</t>
  </si>
  <si>
    <t>GEARS: Research Submission</t>
  </si>
  <si>
    <t xml:space="preserve">Please provide any additional information that may be relevant including links to resources or similar research projects and publications. </t>
  </si>
  <si>
    <t xml:space="preserve">NISRA Boundary Application. </t>
  </si>
  <si>
    <t>The purpose of this submission form is to act as a guide to structure research questions and help us better understand the need. By gathering the key information from the outset, we can assess the project feasibility, idenitfy relevant data srouces and ensure work is efficinet and effective.  Please fill in each section accurately and with the necessary detail.</t>
  </si>
  <si>
    <t xml:space="preserve">Please send the completed form to stephen.mcgonagle@economy-ni.gov.uk and katie.tener@economy-ni.gov.uk with the document saved using an appropriate reference in the file name. </t>
  </si>
  <si>
    <t>2. Research Submission</t>
  </si>
  <si>
    <t xml:space="preserve">Research Submission </t>
  </si>
  <si>
    <t xml:space="preserve">GEARS aims to visualise the current energy landscape of Northern Ireland and assist in preparing for future changes through the development of spatial planning.  This tool was developed to catalogue relevant and available data to aid in energy research projects. The submission form included can be used to submit research requests to the GEARS team. </t>
  </si>
  <si>
    <t xml:space="preserve">This will help the team determine the appropriate data sources, scale and extent of the research. More information can be found on the </t>
  </si>
  <si>
    <t>The purpose of this submission form is to act as a guide to structure research questions and help us better understand the need. By gathering the key information from the outset, we can assess the project feasibility, identify relevant data sources and ensure work is efficient and effective.  Please fill in each section accurately and with the necessary detail.</t>
  </si>
  <si>
    <t>If the data is included in the Data Catalogue, please enter the unique ID into column A and this will auto populate some of the table below. If the data is not in the catalogue, manually populate all the fields.</t>
  </si>
  <si>
    <t>Please indicate in the table below the data you think might be required to support your research question.</t>
  </si>
  <si>
    <t>To support the data requirement element, the GEARS Data Catalogue is included in this Excel Workbook. The catalogue contains information on available datasets including the age of data, scale and sensitivity. The catalogue is non-exhaustive.</t>
  </si>
  <si>
    <t>Please indicate the type of output you require to support your research question. Please tick any of the boxes below.</t>
  </si>
  <si>
    <t>Please answer this question accurately to ensure the correct levels of data protection are in place. Each data has potential data disclosure controls in place to ensure non identification. If the status changes, alert the team as soon as possible.</t>
  </si>
  <si>
    <t>GEARS: Research Tool</t>
  </si>
  <si>
    <t>Policy Team Contact Information</t>
  </si>
  <si>
    <t>Please indicate the geographical level of analysis you require to support your research question.Tick any of the boxes that apply below.</t>
  </si>
  <si>
    <t>Please indicate the onwards use of the analysis for your research question by ticking any of the boxes below.</t>
  </si>
  <si>
    <t xml:space="preserve">Ensure Macros are enabled to ensure full and correct functionality of the tool. </t>
  </si>
  <si>
    <t>Definition</t>
  </si>
  <si>
    <t>Field Name</t>
  </si>
  <si>
    <t>Unique ID generated for this tool to identify individual datasets.</t>
  </si>
  <si>
    <t>Name of data set.</t>
  </si>
  <si>
    <t>Refers to how often the data is updated. 
D = Daily W = Weekly M = Monthly Q = Quarterly B = Bi-Annually AN = As Needed NP = Not Planned U = Unknown</t>
  </si>
  <si>
    <t xml:space="preserve">Date of when the data was last published or web page last updated. This is not reflective of the age of the data. </t>
  </si>
  <si>
    <t>Name of data owner.</t>
  </si>
  <si>
    <t xml:space="preserve">The date of the earliest edition of the data available. </t>
  </si>
  <si>
    <t xml:space="preserve">The general category of the data owner. This may be Government/Public Body, Academia, Lobby Group or Private Company. </t>
  </si>
  <si>
    <t xml:space="preserve">The geographic area which is covered by the dataset. </t>
  </si>
  <si>
    <t>Text tags categorising datasets into common themes.</t>
  </si>
  <si>
    <t xml:space="preserve">Refers to the data protection and sharing conditions attached to the data. These can be Open Data, Internal Only and Project Specific. For the latter, sub-licenses and data sharing agreements may be required. </t>
  </si>
  <si>
    <t>Key Considerations</t>
  </si>
  <si>
    <t xml:space="preserve">The Master Dataset is a supplemenaty data catalogue providing a non-exhuastive list of relevant datasets that are available to the deparment. </t>
  </si>
  <si>
    <t>4. Field Dictionary</t>
  </si>
  <si>
    <t>Link to metadata associated with the dataset supplied by data owner.</t>
  </si>
  <si>
    <t>Date of most recent version of the data available. When exact date of publication is unknown, the first day of the first month is assumed.</t>
  </si>
  <si>
    <t xml:space="preserve">Format of data upon download from owner. OGC/REST Service links should be used within AGOL, ArcPro or QGIS. They will not work within a browser. </t>
  </si>
  <si>
    <t>Link to dataset for download. The data link will direct the user to the most recent version of the data available.</t>
  </si>
  <si>
    <t>The level of detail provided by the data. Figures can be provided at different levels ranging from each individual building to a single figure for Northern Ireland. Please note, where more than one spatial scale is available, it may not be available at your chosen scale for all years of the study.</t>
  </si>
  <si>
    <t xml:space="preserve">A field dictionary is included to provide clarity of understanding </t>
  </si>
  <si>
    <t>Please indicate the date you require a response to your research question. If there is no firm deadline, please select 01/01/2027.</t>
  </si>
  <si>
    <t xml:space="preserve">Generation, Heat Pump, Heating </t>
  </si>
  <si>
    <t>Mines and Quarries</t>
  </si>
  <si>
    <t>Natural Environment, Generation</t>
  </si>
  <si>
    <t>Heat Networks Registered under the Heat Network (Metering and Billing) Regulations</t>
  </si>
  <si>
    <t>Heat Pump, Generation, Network Grid</t>
  </si>
  <si>
    <t>Urban Atlas Building Heights</t>
  </si>
  <si>
    <t>EEA</t>
  </si>
  <si>
    <t>Consumption, Non-Energy Related Infrastructure</t>
  </si>
  <si>
    <t>Deep Geothermal Potential Areas in UK</t>
  </si>
  <si>
    <t>BGS</t>
  </si>
  <si>
    <t>Generation, Geothermal , Natural Environment</t>
  </si>
  <si>
    <t>Residential Heat Demand</t>
  </si>
  <si>
    <t>Irish Heat Demand</t>
  </si>
  <si>
    <t>Final Energy Demand (Heat and Hot Water)</t>
  </si>
  <si>
    <t>Hot Maps</t>
  </si>
  <si>
    <t>Consumption, Heating , Socioeconomic</t>
  </si>
  <si>
    <t>Energy End Use</t>
  </si>
  <si>
    <t>ONS</t>
  </si>
  <si>
    <t xml:space="preserve">Consumption, Gas, Electricity, Heating </t>
  </si>
  <si>
    <t>Field Dictionary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</si>
</sst>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Aptos Narrow"/>
      <family val="2"/>
      <scheme val="minor"/>
    </font>
    <font>
      <b/>
      <sz val="11"/>
      <color theme="1"/>
      <name val="Aptos Narrow"/>
      <family val="2"/>
      <scheme val="minor"/>
    </font>
    <font>
      <u/>
      <sz val="11"/>
      <color theme="10"/>
      <name val="Aptos Narrow"/>
      <family val="2"/>
      <scheme val="minor"/>
    </font>
    <font>
      <b/>
      <sz val="18"/>
      <color theme="1"/>
      <name val="Aptos Narrow"/>
      <family val="2"/>
      <scheme val="minor"/>
    </font>
    <font>
      <b/>
      <sz val="28"/>
      <color rgb="FF1C215A"/>
      <name val="Aptos Narrow"/>
      <family val="2"/>
      <scheme val="minor"/>
    </font>
    <font>
      <b/>
      <sz val="11"/>
      <color rgb="FF1C215A"/>
      <name val="Aptos Narrow"/>
      <family val="2"/>
      <scheme val="minor"/>
    </font>
    <font>
      <b/>
      <sz val="11"/>
      <color rgb="FF0973B6"/>
      <name val="Aptos Narrow"/>
      <family val="2"/>
      <scheme val="minor"/>
    </font>
    <font>
      <b/>
      <sz val="18"/>
      <color theme="0"/>
      <name val="Aptos Narrow"/>
      <family val="2"/>
      <scheme val="minor"/>
    </font>
    <font>
      <sz val="11"/>
      <color theme="1"/>
      <name val="Aptos Narrow"/>
      <family val="2"/>
      <scheme val="minor"/>
    </font>
    <font>
      <sz val="11"/>
      <color rgb="FF001D35"/>
      <name val="Arial"/>
      <family val="2"/>
    </font>
    <font>
      <b/>
      <sz val="11"/>
      <color rgb="FF001D35"/>
      <name val="Arial"/>
      <family val="2"/>
    </font>
    <font>
      <sz val="18"/>
      <color theme="0"/>
      <name val="Aptos Narrow"/>
      <family val="2"/>
      <scheme val="minor"/>
    </font>
    <font>
      <b/>
      <sz val="26"/>
      <color theme="0"/>
      <name val="Aptos Narrow"/>
      <family val="2"/>
      <scheme val="minor"/>
    </font>
    <font>
      <b/>
      <sz val="14"/>
      <color rgb="FF1C215A"/>
      <name val="Aptos Narrow"/>
      <family val="2"/>
      <scheme val="minor"/>
    </font>
    <font>
      <sz val="11"/>
      <color theme="1"/>
      <name val="Aptos"/>
      <family val="2"/>
    </font>
    <font>
      <b/>
      <sz val="11"/>
      <color theme="1"/>
      <name val="Aptos"/>
      <family val="2"/>
    </font>
    <font>
      <b/>
      <sz val="11"/>
      <color rgb="FFFF0000"/>
      <name val="Aptos Narrow"/>
      <family val="2"/>
      <scheme val="minor"/>
    </font>
    <font>
      <b/>
      <sz val="11"/>
      <name val="Aptos Narrow"/>
      <family val="2"/>
      <scheme val="minor"/>
    </font>
    <font>
      <sz val="8"/>
      <color rgb="FF000000"/>
      <name val="Segoe UI"/>
      <family val="2"/>
    </font>
    <font>
      <sz val="11"/>
      <color rgb="FFFF0000"/>
      <name val="Aptos Narrow"/>
      <family val="2"/>
      <scheme val="minor"/>
    </font>
    <font>
      <i/>
      <sz val="11"/>
      <color theme="1"/>
      <name val="Aptos Narrow"/>
      <family val="2"/>
      <scheme val="minor"/>
    </font>
    <font>
      <b/>
      <sz val="11"/>
      <color theme="0"/>
      <name val="Aptos Narrow"/>
      <family val="2"/>
      <scheme val="minor"/>
    </font>
    <font>
      <sz val="11"/>
      <name val="Aptos Narrow"/>
      <family val="2"/>
      <scheme val="minor"/>
    </font>
  </fonts>
  <fills count="9">
    <fill>
      <patternFill patternType="none"/>
    </fill>
    <fill>
      <patternFill patternType="gray125"/>
    </fill>
    <fill>
      <patternFill patternType="solid">
        <fgColor rgb="FF1C215A"/>
        <bgColor indexed="64"/>
      </patternFill>
    </fill>
    <fill>
      <patternFill patternType="solid">
        <fgColor rgb="FFFFFFFF"/>
        <bgColor indexed="64"/>
      </patternFill>
    </fill>
    <fill>
      <patternFill patternType="solid">
        <fgColor rgb="FF0973B6"/>
        <bgColor indexed="64"/>
      </patternFill>
    </fill>
    <fill>
      <patternFill patternType="solid">
        <fgColor rgb="FF0070C0"/>
        <bgColor indexed="64"/>
      </patternFill>
    </fill>
    <fill>
      <patternFill patternType="solid">
        <fgColor rgb="FFFFFF00"/>
        <bgColor indexed="64"/>
      </patternFill>
    </fill>
    <fill>
      <patternFill patternType="solid">
        <fgColor theme="0"/>
        <bgColor indexed="64"/>
      </patternFill>
    </fill>
    <fill>
      <patternFill patternType="solid">
        <fgColor theme="3" tint="0.89999084444715716"/>
        <bgColor indexed="64"/>
      </patternFill>
    </fill>
  </fills>
  <borders count="21">
    <border>
      <left/>
      <right/>
      <top/>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diagonal/>
    </border>
    <border>
      <left style="thin">
        <color theme="1" tint="0.14999847407452621"/>
      </left>
      <right style="thin">
        <color theme="1" tint="0.14999847407452621"/>
      </right>
      <top style="thin">
        <color theme="1" tint="0.14999847407452621"/>
      </top>
      <bottom style="thin">
        <color theme="1" tint="0.14999847407452621"/>
      </bottom>
      <diagonal/>
    </border>
    <border>
      <left style="thin">
        <color indexed="64"/>
      </left>
      <right style="thin">
        <color indexed="64"/>
      </right>
      <top style="thin">
        <color indexed="64"/>
      </top>
      <bottom style="thin">
        <color indexed="64"/>
      </bottom>
      <diagonal/>
    </border>
    <border>
      <left style="thin">
        <color theme="1" tint="0.14999847407452621"/>
      </left>
      <right/>
      <top style="thin">
        <color theme="1" tint="0.14999847407452621"/>
      </top>
      <bottom style="thin">
        <color theme="1" tint="0.1499984740745262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4" tint="0.39997558519241921"/>
      </left>
      <right/>
      <top style="thin">
        <color theme="4" tint="0.39997558519241921"/>
      </top>
      <bottom style="thin">
        <color theme="4" tint="0.39997558519241921"/>
      </bottom>
      <diagonal/>
    </border>
  </borders>
  <cellStyleXfs count="3">
    <xf numFmtId="0" fontId="0" fillId="0" borderId="0"/>
    <xf numFmtId="0" fontId="2" fillId="0" borderId="0" applyNumberFormat="0" applyFill="0" applyBorder="0" applyAlignment="0" applyProtection="0"/>
    <xf numFmtId="9" fontId="8" fillId="0" borderId="0" applyFont="0" applyFill="0" applyBorder="0" applyAlignment="0" applyProtection="0"/>
  </cellStyleXfs>
  <cellXfs count="134">
    <xf numFmtId="0" fontId="0" fillId="0" borderId="0" xfId="0"/>
    <xf numFmtId="0" fontId="1" fillId="0" borderId="0" xfId="0" applyFont="1"/>
    <xf numFmtId="0" fontId="0" fillId="0" borderId="0" xfId="0" applyAlignment="1">
      <alignment horizontal="left"/>
    </xf>
    <xf numFmtId="0" fontId="0" fillId="0" borderId="0" xfId="0" applyAlignment="1">
      <alignment horizontal="left" wrapText="1"/>
    </xf>
    <xf numFmtId="14" fontId="0" fillId="0" borderId="0" xfId="0" applyNumberFormat="1" applyAlignment="1">
      <alignment horizontal="left"/>
    </xf>
    <xf numFmtId="0" fontId="2" fillId="0" borderId="0" xfId="1" applyAlignment="1">
      <alignment horizontal="left"/>
    </xf>
    <xf numFmtId="0" fontId="2" fillId="0" borderId="0" xfId="1" applyAlignment="1">
      <alignment horizontal="left" wrapText="1"/>
    </xf>
    <xf numFmtId="0" fontId="2" fillId="0" borderId="0" xfId="1" applyFill="1" applyAlignment="1">
      <alignment horizontal="left" wrapText="1"/>
    </xf>
    <xf numFmtId="0" fontId="0" fillId="0" borderId="1" xfId="0" applyBorder="1"/>
    <xf numFmtId="0" fontId="0" fillId="0" borderId="2" xfId="0" applyBorder="1"/>
    <xf numFmtId="0" fontId="0" fillId="0" borderId="3" xfId="0" applyBorder="1"/>
    <xf numFmtId="0" fontId="0" fillId="0" borderId="4" xfId="0" applyBorder="1"/>
    <xf numFmtId="0" fontId="1" fillId="0" borderId="5" xfId="0" applyFont="1" applyBorder="1"/>
    <xf numFmtId="0" fontId="1" fillId="0" borderId="6" xfId="0" applyFont="1" applyBorder="1"/>
    <xf numFmtId="0" fontId="0" fillId="0" borderId="7" xfId="0" applyBorder="1"/>
    <xf numFmtId="0" fontId="0" fillId="0" borderId="8" xfId="0" applyBorder="1"/>
    <xf numFmtId="0" fontId="0" fillId="0" borderId="9" xfId="0" applyBorder="1"/>
    <xf numFmtId="0" fontId="1" fillId="0" borderId="10" xfId="0" applyFont="1" applyBorder="1"/>
    <xf numFmtId="0" fontId="0" fillId="0" borderId="11" xfId="0" applyBorder="1"/>
    <xf numFmtId="0" fontId="2" fillId="0" borderId="0" xfId="1" applyFill="1"/>
    <xf numFmtId="0" fontId="0" fillId="0" borderId="12" xfId="0" pivotButton="1" applyBorder="1"/>
    <xf numFmtId="0" fontId="0" fillId="0" borderId="12" xfId="0" applyBorder="1"/>
    <xf numFmtId="0" fontId="0" fillId="0" borderId="12" xfId="0" applyBorder="1" applyAlignment="1">
      <alignment horizontal="left"/>
    </xf>
    <xf numFmtId="0" fontId="1" fillId="2" borderId="0" xfId="0" applyFont="1" applyFill="1" applyAlignment="1">
      <alignment horizontal="left" wrapText="1"/>
    </xf>
    <xf numFmtId="0" fontId="1" fillId="3" borderId="0" xfId="0" applyFont="1" applyFill="1" applyAlignment="1">
      <alignment horizontal="left" wrapText="1"/>
    </xf>
    <xf numFmtId="0" fontId="0" fillId="2" borderId="0" xfId="0" applyFill="1"/>
    <xf numFmtId="0" fontId="3" fillId="2" borderId="0" xfId="0" applyFont="1" applyFill="1" applyAlignment="1">
      <alignment horizontal="left" vertical="center" wrapText="1"/>
    </xf>
    <xf numFmtId="0" fontId="1" fillId="0" borderId="15" xfId="0" applyFont="1" applyBorder="1"/>
    <xf numFmtId="0" fontId="10" fillId="0" borderId="15" xfId="0" applyFont="1" applyBorder="1" applyAlignment="1">
      <alignment horizontal="left" vertical="center" wrapText="1" indent="1"/>
    </xf>
    <xf numFmtId="0" fontId="0" fillId="0" borderId="15" xfId="0" applyBorder="1" applyAlignment="1">
      <alignment wrapText="1"/>
    </xf>
    <xf numFmtId="0" fontId="8" fillId="0" borderId="0" xfId="1" applyFont="1" applyAlignment="1">
      <alignment horizontal="left"/>
    </xf>
    <xf numFmtId="9" fontId="0" fillId="0" borderId="17" xfId="2" applyFont="1" applyBorder="1"/>
    <xf numFmtId="0" fontId="0" fillId="0" borderId="16" xfId="0" applyBorder="1"/>
    <xf numFmtId="0" fontId="0" fillId="0" borderId="16" xfId="0" applyBorder="1" applyAlignment="1">
      <alignment wrapText="1"/>
    </xf>
    <xf numFmtId="0" fontId="1" fillId="0" borderId="16" xfId="0" applyFont="1" applyBorder="1" applyAlignment="1">
      <alignment wrapText="1"/>
    </xf>
    <xf numFmtId="2" fontId="0" fillId="0" borderId="16" xfId="0" applyNumberFormat="1" applyBorder="1"/>
    <xf numFmtId="0" fontId="0" fillId="6" borderId="0" xfId="0" applyFill="1" applyAlignment="1">
      <alignment horizontal="left"/>
    </xf>
    <xf numFmtId="0" fontId="0" fillId="6" borderId="0" xfId="0" applyFill="1" applyAlignment="1">
      <alignment horizontal="left" wrapText="1"/>
    </xf>
    <xf numFmtId="0" fontId="0" fillId="7" borderId="0" xfId="0" applyFill="1"/>
    <xf numFmtId="0" fontId="14" fillId="0" borderId="16" xfId="0" applyFont="1" applyBorder="1" applyAlignment="1">
      <alignment vertical="center" wrapText="1"/>
    </xf>
    <xf numFmtId="0" fontId="2" fillId="7" borderId="0" xfId="1" applyFill="1"/>
    <xf numFmtId="0" fontId="15" fillId="0" borderId="3" xfId="0" applyFont="1" applyBorder="1" applyAlignment="1">
      <alignment horizontal="left" vertical="center" wrapText="1"/>
    </xf>
    <xf numFmtId="0" fontId="1" fillId="7" borderId="5" xfId="0" applyFont="1" applyFill="1" applyBorder="1" applyAlignment="1">
      <alignment vertical="center"/>
    </xf>
    <xf numFmtId="0" fontId="15" fillId="0" borderId="18" xfId="0" applyFont="1" applyBorder="1" applyAlignment="1">
      <alignment vertical="center" wrapText="1"/>
    </xf>
    <xf numFmtId="0" fontId="15" fillId="0" borderId="6" xfId="0" applyFont="1" applyBorder="1" applyAlignment="1">
      <alignment horizontal="left" vertical="center" wrapText="1"/>
    </xf>
    <xf numFmtId="0" fontId="14" fillId="3" borderId="16" xfId="0" applyFont="1" applyFill="1" applyBorder="1" applyAlignment="1">
      <alignment vertical="center" wrapText="1"/>
    </xf>
    <xf numFmtId="0" fontId="15" fillId="3" borderId="3" xfId="0" applyFont="1" applyFill="1" applyBorder="1" applyAlignment="1">
      <alignment horizontal="left" vertical="center" wrapText="1"/>
    </xf>
    <xf numFmtId="0" fontId="0" fillId="7" borderId="1" xfId="0" applyFill="1" applyBorder="1"/>
    <xf numFmtId="0" fontId="0" fillId="7" borderId="16" xfId="0" applyFill="1" applyBorder="1"/>
    <xf numFmtId="0" fontId="0" fillId="7" borderId="3" xfId="0" applyFill="1" applyBorder="1" applyAlignment="1">
      <alignment horizontal="left"/>
    </xf>
    <xf numFmtId="0" fontId="0" fillId="7" borderId="8" xfId="0" applyFill="1" applyBorder="1"/>
    <xf numFmtId="0" fontId="0" fillId="7" borderId="19" xfId="0" applyFill="1" applyBorder="1"/>
    <xf numFmtId="0" fontId="0" fillId="7" borderId="7" xfId="0" applyFill="1" applyBorder="1" applyAlignment="1">
      <alignment horizontal="left"/>
    </xf>
    <xf numFmtId="0" fontId="2" fillId="3" borderId="16" xfId="1" applyFill="1" applyBorder="1" applyAlignment="1">
      <alignment vertical="center" wrapText="1"/>
    </xf>
    <xf numFmtId="14" fontId="0" fillId="7" borderId="0" xfId="0" applyNumberFormat="1" applyFill="1"/>
    <xf numFmtId="0" fontId="20" fillId="7" borderId="0" xfId="0" applyFont="1" applyFill="1"/>
    <xf numFmtId="0" fontId="4" fillId="0" borderId="14" xfId="0" applyFont="1" applyBorder="1" applyAlignment="1">
      <alignment vertical="center"/>
    </xf>
    <xf numFmtId="0" fontId="4" fillId="3" borderId="0" xfId="0" applyFont="1" applyFill="1" applyAlignment="1">
      <alignment vertical="center"/>
    </xf>
    <xf numFmtId="0" fontId="0" fillId="8" borderId="0" xfId="0" applyFill="1"/>
    <xf numFmtId="0" fontId="1" fillId="8" borderId="0" xfId="0" applyFont="1" applyFill="1"/>
    <xf numFmtId="0" fontId="4" fillId="8" borderId="0" xfId="0" applyFont="1" applyFill="1" applyAlignment="1">
      <alignment vertical="center"/>
    </xf>
    <xf numFmtId="0" fontId="1" fillId="8" borderId="0" xfId="0" applyFont="1" applyFill="1" applyAlignment="1">
      <alignment vertical="top" wrapText="1"/>
    </xf>
    <xf numFmtId="0" fontId="16" fillId="8" borderId="0" xfId="0" applyFont="1" applyFill="1" applyAlignment="1">
      <alignment vertical="top" wrapText="1"/>
    </xf>
    <xf numFmtId="0" fontId="0" fillId="8" borderId="0" xfId="0" applyFill="1" applyAlignment="1">
      <alignment vertical="top" wrapText="1"/>
    </xf>
    <xf numFmtId="0" fontId="0" fillId="8" borderId="0" xfId="0" applyFill="1" applyAlignment="1">
      <alignment wrapText="1"/>
    </xf>
    <xf numFmtId="0" fontId="19" fillId="8" borderId="0" xfId="0" applyFont="1" applyFill="1" applyAlignment="1">
      <alignment vertical="top" wrapText="1"/>
    </xf>
    <xf numFmtId="0" fontId="0" fillId="3" borderId="0" xfId="0" applyFill="1"/>
    <xf numFmtId="0" fontId="0" fillId="7" borderId="16" xfId="0" applyFill="1" applyBorder="1" applyAlignment="1">
      <alignment vertical="center" wrapText="1"/>
    </xf>
    <xf numFmtId="0" fontId="0" fillId="0" borderId="0" xfId="0" applyAlignment="1">
      <alignment horizontal="center" vertical="top" wrapText="1"/>
    </xf>
    <xf numFmtId="0" fontId="0" fillId="0" borderId="0" xfId="0" applyAlignment="1">
      <alignment vertical="top" wrapText="1"/>
    </xf>
    <xf numFmtId="0" fontId="6" fillId="0" borderId="0" xfId="0" applyFont="1"/>
    <xf numFmtId="0" fontId="13" fillId="0" borderId="0" xfId="0" applyFont="1" applyAlignment="1">
      <alignment horizontal="center"/>
    </xf>
    <xf numFmtId="0" fontId="2" fillId="0" borderId="0" xfId="1" quotePrefix="1" applyBorder="1"/>
    <xf numFmtId="0" fontId="5" fillId="0" borderId="0" xfId="0" applyFont="1" applyAlignment="1">
      <alignment horizontal="left" vertical="center"/>
    </xf>
    <xf numFmtId="0" fontId="16" fillId="0" borderId="0" xfId="0" applyFont="1"/>
    <xf numFmtId="0" fontId="17" fillId="8" borderId="0" xfId="0" applyFont="1" applyFill="1"/>
    <xf numFmtId="0" fontId="0" fillId="0" borderId="16" xfId="0" applyBorder="1" applyAlignment="1">
      <alignment horizontal="left" wrapText="1"/>
    </xf>
    <xf numFmtId="0" fontId="0" fillId="0" borderId="16" xfId="0" applyBorder="1" applyAlignment="1">
      <alignment vertical="top" wrapText="1"/>
    </xf>
    <xf numFmtId="0" fontId="21" fillId="2" borderId="16" xfId="0" applyFont="1" applyFill="1" applyBorder="1" applyAlignment="1">
      <alignment horizontal="left" wrapText="1"/>
    </xf>
    <xf numFmtId="0" fontId="21" fillId="2" borderId="16" xfId="0" applyFont="1" applyFill="1" applyBorder="1" applyAlignment="1">
      <alignment horizontal="left" vertical="top" wrapText="1"/>
    </xf>
    <xf numFmtId="0" fontId="1" fillId="2" borderId="20" xfId="0" applyFont="1" applyFill="1" applyBorder="1" applyAlignment="1">
      <alignment horizontal="left" wrapText="1"/>
    </xf>
    <xf numFmtId="14" fontId="0" fillId="8" borderId="0" xfId="0" applyNumberFormat="1" applyFill="1"/>
    <xf numFmtId="0" fontId="0" fillId="0" borderId="0" xfId="0" applyAlignment="1">
      <alignment horizontal="center"/>
    </xf>
    <xf numFmtId="0" fontId="0" fillId="4" borderId="0" xfId="0" applyFill="1" applyAlignment="1">
      <alignment horizontal="center"/>
    </xf>
    <xf numFmtId="0" fontId="0" fillId="2" borderId="0" xfId="0" applyFill="1" applyAlignment="1">
      <alignment horizontal="center"/>
    </xf>
    <xf numFmtId="0" fontId="7" fillId="4" borderId="0" xfId="0" applyFont="1" applyFill="1" applyAlignment="1">
      <alignment horizontal="left" vertical="center" wrapText="1"/>
    </xf>
    <xf numFmtId="0" fontId="7" fillId="2" borderId="0" xfId="0" applyFont="1" applyFill="1" applyAlignment="1">
      <alignment horizontal="left" vertical="center" wrapText="1"/>
    </xf>
    <xf numFmtId="0" fontId="0" fillId="0" borderId="0" xfId="0" applyAlignment="1">
      <alignment horizontal="center" vertical="top" wrapText="1"/>
    </xf>
    <xf numFmtId="0" fontId="0" fillId="0" borderId="0" xfId="0" applyAlignment="1">
      <alignment horizontal="center" wrapText="1"/>
    </xf>
    <xf numFmtId="0" fontId="0" fillId="0" borderId="0" xfId="0" applyAlignment="1">
      <alignment horizontal="left" vertical="top" wrapText="1"/>
    </xf>
    <xf numFmtId="0" fontId="4" fillId="0" borderId="0" xfId="0" applyFont="1" applyAlignment="1">
      <alignment horizontal="center" vertical="center"/>
    </xf>
    <xf numFmtId="0" fontId="6" fillId="0" borderId="0" xfId="0" applyFont="1" applyAlignment="1">
      <alignment horizontal="center"/>
    </xf>
    <xf numFmtId="0" fontId="13" fillId="0" borderId="0" xfId="0" applyFont="1" applyAlignment="1">
      <alignment horizontal="center"/>
    </xf>
    <xf numFmtId="0" fontId="13" fillId="0" borderId="0" xfId="0" applyFont="1" applyAlignment="1">
      <alignment horizontal="center" vertical="top"/>
    </xf>
    <xf numFmtId="0" fontId="22" fillId="0" borderId="0" xfId="0" applyFont="1" applyAlignment="1">
      <alignment horizontal="left"/>
    </xf>
    <xf numFmtId="0" fontId="0" fillId="0" borderId="0" xfId="0" applyAlignment="1">
      <alignment horizontal="left"/>
    </xf>
    <xf numFmtId="0" fontId="7" fillId="2" borderId="14" xfId="0" applyFont="1" applyFill="1" applyBorder="1" applyAlignment="1">
      <alignment horizontal="left" vertical="center" wrapText="1"/>
    </xf>
    <xf numFmtId="0" fontId="0" fillId="2" borderId="14" xfId="0" applyFill="1" applyBorder="1" applyAlignment="1">
      <alignment horizontal="center"/>
    </xf>
    <xf numFmtId="0" fontId="7" fillId="4" borderId="14" xfId="0" applyFont="1" applyFill="1" applyBorder="1" applyAlignment="1">
      <alignment horizontal="left" vertical="center" wrapText="1"/>
    </xf>
    <xf numFmtId="0" fontId="0" fillId="7" borderId="7" xfId="0" applyFill="1" applyBorder="1" applyAlignment="1">
      <alignment horizontal="left" vertical="top"/>
    </xf>
    <xf numFmtId="0" fontId="0" fillId="7" borderId="11" xfId="0" applyFill="1" applyBorder="1" applyAlignment="1">
      <alignment horizontal="left" vertical="top"/>
    </xf>
    <xf numFmtId="0" fontId="0" fillId="7" borderId="8" xfId="0" applyFill="1" applyBorder="1" applyAlignment="1">
      <alignment horizontal="left" vertical="top"/>
    </xf>
    <xf numFmtId="0" fontId="0" fillId="7" borderId="4" xfId="0" applyFill="1" applyBorder="1" applyAlignment="1">
      <alignment horizontal="left" vertical="top"/>
    </xf>
    <xf numFmtId="0" fontId="0" fillId="7" borderId="0" xfId="0" applyFill="1" applyAlignment="1">
      <alignment horizontal="left" vertical="top"/>
    </xf>
    <xf numFmtId="0" fontId="0" fillId="7" borderId="2" xfId="0" applyFill="1" applyBorder="1" applyAlignment="1">
      <alignment horizontal="left" vertical="top"/>
    </xf>
    <xf numFmtId="0" fontId="0" fillId="7" borderId="6" xfId="0" applyFill="1" applyBorder="1" applyAlignment="1">
      <alignment horizontal="left" vertical="top"/>
    </xf>
    <xf numFmtId="0" fontId="0" fillId="7" borderId="10" xfId="0" applyFill="1" applyBorder="1" applyAlignment="1">
      <alignment horizontal="left" vertical="top"/>
    </xf>
    <xf numFmtId="0" fontId="0" fillId="7" borderId="5" xfId="0" applyFill="1" applyBorder="1" applyAlignment="1">
      <alignment horizontal="left" vertical="top"/>
    </xf>
    <xf numFmtId="0" fontId="0" fillId="8" borderId="0" xfId="0" applyFill="1" applyAlignment="1">
      <alignment horizontal="left" vertical="top" wrapText="1"/>
    </xf>
    <xf numFmtId="0" fontId="2" fillId="8" borderId="0" xfId="1" applyFill="1" applyAlignment="1">
      <alignment horizontal="left" vertical="top" wrapText="1"/>
    </xf>
    <xf numFmtId="0" fontId="4" fillId="8" borderId="13" xfId="0" applyFont="1" applyFill="1" applyBorder="1" applyAlignment="1">
      <alignment horizontal="center" vertical="center"/>
    </xf>
    <xf numFmtId="0" fontId="4" fillId="8" borderId="0" xfId="0" applyFont="1" applyFill="1" applyAlignment="1">
      <alignment horizontal="center" vertical="center"/>
    </xf>
    <xf numFmtId="0" fontId="0" fillId="8" borderId="10" xfId="0" applyFill="1" applyBorder="1" applyAlignment="1">
      <alignment horizontal="left" vertical="top" wrapText="1"/>
    </xf>
    <xf numFmtId="0" fontId="0" fillId="7" borderId="16" xfId="0" applyFill="1" applyBorder="1" applyAlignment="1">
      <alignment horizontal="left" vertical="top"/>
    </xf>
    <xf numFmtId="0" fontId="0" fillId="7" borderId="7" xfId="0" applyFill="1" applyBorder="1" applyAlignment="1">
      <alignment horizontal="left" vertical="center"/>
    </xf>
    <xf numFmtId="0" fontId="0" fillId="7" borderId="11" xfId="0" applyFill="1" applyBorder="1" applyAlignment="1">
      <alignment horizontal="left" vertical="center"/>
    </xf>
    <xf numFmtId="0" fontId="0" fillId="7" borderId="8" xfId="0" applyFill="1" applyBorder="1" applyAlignment="1">
      <alignment horizontal="left" vertical="center"/>
    </xf>
    <xf numFmtId="0" fontId="0" fillId="7" borderId="4" xfId="0" applyFill="1" applyBorder="1" applyAlignment="1">
      <alignment horizontal="left" vertical="center"/>
    </xf>
    <xf numFmtId="0" fontId="0" fillId="7" borderId="0" xfId="0" applyFill="1" applyAlignment="1">
      <alignment horizontal="left" vertical="center"/>
    </xf>
    <xf numFmtId="0" fontId="0" fillId="7" borderId="2" xfId="0" applyFill="1" applyBorder="1" applyAlignment="1">
      <alignment horizontal="left" vertical="center"/>
    </xf>
    <xf numFmtId="0" fontId="0" fillId="7" borderId="6" xfId="0" applyFill="1" applyBorder="1" applyAlignment="1">
      <alignment horizontal="left" vertical="center"/>
    </xf>
    <xf numFmtId="0" fontId="0" fillId="7" borderId="10" xfId="0" applyFill="1" applyBorder="1" applyAlignment="1">
      <alignment horizontal="left" vertical="center"/>
    </xf>
    <xf numFmtId="0" fontId="0" fillId="7" borderId="5" xfId="0" applyFill="1" applyBorder="1" applyAlignment="1">
      <alignment horizontal="left" vertical="center"/>
    </xf>
    <xf numFmtId="0" fontId="4" fillId="0" borderId="0" xfId="0" applyFont="1" applyAlignment="1">
      <alignment horizontal="left"/>
    </xf>
    <xf numFmtId="0" fontId="11" fillId="4" borderId="0" xfId="0" applyFont="1" applyFill="1" applyAlignment="1">
      <alignment horizontal="center" vertical="center" wrapText="1"/>
    </xf>
    <xf numFmtId="0" fontId="0" fillId="5" borderId="0" xfId="0" applyFill="1" applyAlignment="1">
      <alignment horizontal="center" vertical="center"/>
    </xf>
    <xf numFmtId="0" fontId="12" fillId="5" borderId="0" xfId="0" applyFont="1" applyFill="1" applyAlignment="1">
      <alignment horizontal="center" vertical="center"/>
    </xf>
    <xf numFmtId="0" fontId="1" fillId="0" borderId="15" xfId="0" applyFont="1" applyBorder="1" applyAlignment="1">
      <alignment horizontal="center" vertical="center"/>
    </xf>
    <xf numFmtId="0" fontId="1" fillId="0" borderId="15" xfId="0" applyFont="1" applyBorder="1" applyAlignment="1">
      <alignment horizontal="center"/>
    </xf>
    <xf numFmtId="0" fontId="1" fillId="0" borderId="17" xfId="0" applyFont="1" applyBorder="1" applyAlignment="1">
      <alignment horizontal="center" vertical="center"/>
    </xf>
    <xf numFmtId="0" fontId="1" fillId="0" borderId="16" xfId="0" applyFont="1" applyBorder="1" applyAlignment="1">
      <alignment horizontal="center" vertical="center" wrapText="1"/>
    </xf>
    <xf numFmtId="0" fontId="1" fillId="0" borderId="16" xfId="0" applyFont="1" applyBorder="1" applyAlignment="1">
      <alignment horizontal="center" vertical="center"/>
    </xf>
    <xf numFmtId="0" fontId="0" fillId="0" borderId="1" xfId="0" applyBorder="1" applyAlignment="1">
      <alignment horizontal="center"/>
    </xf>
    <xf numFmtId="0" fontId="0" fillId="0" borderId="16" xfId="0" applyBorder="1" applyAlignment="1">
      <alignment horizontal="center"/>
    </xf>
  </cellXfs>
  <cellStyles count="3">
    <cellStyle name="Hyperlink" xfId="1" builtinId="8"/>
    <cellStyle name="Normal" xfId="0" builtinId="0"/>
    <cellStyle name="Percent" xfId="2" builtinId="5"/>
  </cellStyles>
  <dxfs count="82">
    <dxf>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bottom/>
      </border>
    </dxf>
    <dxf>
      <border diagonalUp="0" diagonalDown="0">
        <left/>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Aptos Narrow"/>
        <family val="2"/>
        <scheme val="minor"/>
      </font>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bottom/>
      </border>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ptos Narrow"/>
        <family val="2"/>
        <scheme val="minor"/>
      </font>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ptos Narrow"/>
        <family val="2"/>
        <scheme val="minor"/>
      </font>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ptos Narrow"/>
        <family val="2"/>
        <scheme val="minor"/>
      </font>
    </dxf>
    <dxf>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ptos Narrow"/>
        <family val="2"/>
        <scheme val="minor"/>
      </font>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1"/>
        <color theme="1"/>
        <name val="Aptos Narrow"/>
        <family val="2"/>
        <scheme val="minor"/>
      </font>
      <border diagonalUp="0" diagonalDown="0" outline="0">
        <left style="thin">
          <color indexed="64"/>
        </left>
        <right style="thin">
          <color indexed="64"/>
        </right>
        <top/>
        <bottom/>
      </border>
    </dxf>
    <dxf>
      <alignment horizontal="left" vertical="bottom" textRotation="0" indent="0" justifyLastLine="0" shrinkToFit="0" readingOrder="0"/>
    </dxf>
    <dxf>
      <alignment horizontal="left" vertical="bottom" textRotation="0" wrapText="1" indent="0" justifyLastLine="0" shrinkToFit="0" readingOrder="0"/>
    </dxf>
    <dxf>
      <alignment horizontal="left" vertical="bottom" textRotation="0" indent="0" justifyLastLine="0" shrinkToFit="0" readingOrder="0"/>
    </dxf>
    <dxf>
      <fill>
        <patternFill patternType="none">
          <fgColor indexed="64"/>
          <bgColor indexed="65"/>
        </patternFill>
      </fill>
      <alignment horizontal="left" vertical="bottom" textRotation="0" wrapText="1" indent="0" justifyLastLine="0" shrinkToFit="0" readingOrder="0"/>
    </dxf>
    <dxf>
      <alignment horizontal="left" vertical="bottom" textRotation="0" indent="0" justifyLastLine="0" shrinkToFit="0" readingOrder="0"/>
    </dxf>
    <dxf>
      <alignment horizontal="left" vertical="bottom" textRotation="0" indent="0" justifyLastLine="0" shrinkToFit="0" readingOrder="0"/>
    </dxf>
    <dxf>
      <numFmt numFmtId="19" formatCode="dd/mm/yyyy"/>
      <alignment horizontal="left" vertical="bottom" textRotation="0" indent="0" justifyLastLine="0" shrinkToFit="0" readingOrder="0"/>
    </dxf>
    <dxf>
      <alignment horizontal="left" vertical="bottom" textRotation="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alignment horizontal="left" vertical="bottom" textRotation="0" indent="0" justifyLastLine="0" shrinkToFit="0" readingOrder="0"/>
    </dxf>
    <dxf>
      <alignment horizontal="left" vertical="bottom" textRotation="0" indent="0" justifyLastLine="0" shrinkToFit="0" readingOrder="0"/>
    </dxf>
    <dxf>
      <alignment horizontal="left" vertical="bottom" textRotation="0" indent="0" justifyLastLine="0" shrinkToFit="0" readingOrder="0"/>
    </dxf>
    <dxf>
      <alignment horizontal="left" vertical="bottom" textRotation="0" indent="0" justifyLastLine="0" shrinkToFit="0" readingOrder="0"/>
    </dxf>
    <dxf>
      <alignment horizontal="left" vertical="bottom" textRotation="0" wrapText="1" indent="0" justifyLastLine="0" shrinkToFit="0" readingOrder="0"/>
    </dxf>
    <dxf>
      <alignment horizontal="left" vertical="bottom" textRotation="0" indent="0" justifyLastLine="0" shrinkToFit="0" readingOrder="0"/>
    </dxf>
    <dxf>
      <alignment horizontal="left" vertical="bottom" textRotation="0" indent="0" justifyLastLine="0" shrinkToFit="0" readingOrder="0"/>
    </dxf>
    <dxf>
      <font>
        <b/>
        <i val="0"/>
        <strike val="0"/>
        <condense val="0"/>
        <extend val="0"/>
        <outline val="0"/>
        <shadow val="0"/>
        <u val="none"/>
        <vertAlign val="baseline"/>
        <sz val="11"/>
        <color theme="1"/>
        <name val="Aptos Narrow"/>
        <family val="2"/>
        <scheme val="minor"/>
      </font>
      <fill>
        <patternFill patternType="solid">
          <fgColor indexed="64"/>
          <bgColor rgb="FF1C215A"/>
        </patternFill>
      </fill>
      <alignment horizontal="left" vertical="bottom" textRotation="0" wrapText="1" indent="0" justifyLastLine="0" shrinkToFit="0" readingOrder="0"/>
    </dxf>
    <dxf>
      <font>
        <b/>
        <i val="0"/>
        <strike val="0"/>
        <condense val="0"/>
        <extend val="0"/>
        <outline val="0"/>
        <shadow val="0"/>
        <u val="none"/>
        <vertAlign val="baseline"/>
        <sz val="11"/>
        <color theme="1"/>
        <name val="Aptos"/>
        <family val="2"/>
        <scheme val="none"/>
      </font>
      <alignment horizontal="left"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font>
      <fill>
        <patternFill patternType="solid">
          <fgColor indexed="64"/>
          <bgColor theme="0"/>
        </patternFill>
      </fill>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Aptos"/>
        <family val="2"/>
        <scheme val="none"/>
      </font>
      <alignment horizontal="general" vertical="center" textRotation="0" wrapText="1" indent="0" justifyLastLine="0" shrinkToFit="0" readingOrder="0"/>
      <border diagonalUp="0" diagonalDown="0" outline="0">
        <left style="thin">
          <color indexed="64"/>
        </left>
        <right style="thin">
          <color indexed="64"/>
        </right>
        <top/>
        <bottom/>
      </border>
    </dxf>
    <dxf>
      <border>
        <left style="thin">
          <color theme="0"/>
        </left>
        <top style="thin">
          <color theme="0"/>
        </top>
        <vertical style="thin">
          <color theme="0"/>
        </vertical>
        <horizontal style="thin">
          <color theme="0"/>
        </horizontal>
      </border>
    </dxf>
    <dxf>
      <border>
        <left style="thin">
          <color theme="0"/>
        </left>
        <top style="thin">
          <color theme="0"/>
        </top>
        <vertical style="thin">
          <color theme="0"/>
        </vertical>
        <horizontal style="thin">
          <color theme="0"/>
        </horizontal>
      </border>
    </dxf>
    <dxf>
      <border>
        <left style="thin">
          <color theme="0"/>
        </left>
        <top style="thin">
          <color theme="0"/>
        </top>
        <vertical style="thin">
          <color theme="0"/>
        </vertical>
        <horizontal style="thin">
          <color theme="0"/>
        </horizontal>
      </border>
    </dxf>
    <dxf>
      <border>
        <left style="thin">
          <color theme="0"/>
        </left>
        <top style="thin">
          <color theme="0"/>
        </top>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s>
  <tableStyles count="0" defaultTableStyle="TableStyleMedium2" defaultPivotStyle="PivotStyleLight16"/>
  <colors>
    <mruColors>
      <color rgb="FF1C215A"/>
      <color rgb="FFFFFFFF"/>
      <color rgb="FF0973B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22/10/relationships/richValueRel" Target="richData/richValueRel.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1.jfif"/><Relationship Id="rId3" Type="http://schemas.openxmlformats.org/officeDocument/2006/relationships/image" Target="../media/image4.jpg"/><Relationship Id="rId7" Type="http://schemas.openxmlformats.org/officeDocument/2006/relationships/hyperlink" Target="#'Research Submission'!A1"/><Relationship Id="rId12" Type="http://schemas.openxmlformats.org/officeDocument/2006/relationships/image" Target="../media/image10.svg"/><Relationship Id="rId2" Type="http://schemas.openxmlformats.org/officeDocument/2006/relationships/image" Target="../media/image3.svg"/><Relationship Id="rId16" Type="http://schemas.openxmlformats.org/officeDocument/2006/relationships/image" Target="../media/image13.svg"/><Relationship Id="rId1" Type="http://schemas.openxmlformats.org/officeDocument/2006/relationships/image" Target="../media/image2.png"/><Relationship Id="rId6" Type="http://schemas.openxmlformats.org/officeDocument/2006/relationships/image" Target="../media/image6.svg"/><Relationship Id="rId11" Type="http://schemas.openxmlformats.org/officeDocument/2006/relationships/image" Target="../media/image9.png"/><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hyperlink" Target="#'Master Dataset'!A1"/><Relationship Id="rId4" Type="http://schemas.openxmlformats.org/officeDocument/2006/relationships/hyperlink" Target="#Overview!A1"/><Relationship Id="rId9" Type="http://schemas.openxmlformats.org/officeDocument/2006/relationships/image" Target="../media/image8.svg"/><Relationship Id="rId14" Type="http://schemas.openxmlformats.org/officeDocument/2006/relationships/hyperlink" Target="#'Field Dictionary'!A1"/></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6.svg"/><Relationship Id="rId7" Type="http://schemas.openxmlformats.org/officeDocument/2006/relationships/hyperlink" Target="#'Master Dataset'!A1"/><Relationship Id="rId2" Type="http://schemas.openxmlformats.org/officeDocument/2006/relationships/image" Target="../media/image5.png"/><Relationship Id="rId1" Type="http://schemas.openxmlformats.org/officeDocument/2006/relationships/hyperlink" Target="#Overview!A1"/><Relationship Id="rId6" Type="http://schemas.openxmlformats.org/officeDocument/2006/relationships/image" Target="../media/image8.svg"/><Relationship Id="rId11" Type="http://schemas.openxmlformats.org/officeDocument/2006/relationships/image" Target="../media/image14.jpeg"/><Relationship Id="rId5" Type="http://schemas.openxmlformats.org/officeDocument/2006/relationships/image" Target="../media/image7.png"/><Relationship Id="rId10" Type="http://schemas.openxmlformats.org/officeDocument/2006/relationships/image" Target="../media/image11.jfif"/><Relationship Id="rId4" Type="http://schemas.openxmlformats.org/officeDocument/2006/relationships/hyperlink" Target="#'Summary Table'!A1"/><Relationship Id="rId9" Type="http://schemas.openxmlformats.org/officeDocument/2006/relationships/image" Target="../media/image10.svg"/></Relationships>
</file>

<file path=xl/drawings/_rels/drawing3.xml.rels><?xml version="1.0" encoding="UTF-8" standalone="yes"?>
<Relationships xmlns="http://schemas.openxmlformats.org/package/2006/relationships"><Relationship Id="rId2" Type="http://schemas.openxmlformats.org/officeDocument/2006/relationships/image" Target="../media/image15.png"/><Relationship Id="rId1" Type="http://schemas.microsoft.com/office/2011/relationships/webextension" Target="../webextensions/webextension1.xml"/></Relationships>
</file>

<file path=xl/drawings/drawing1.xml><?xml version="1.0" encoding="utf-8"?>
<xdr:wsDr xmlns:xdr="http://schemas.openxmlformats.org/drawingml/2006/spreadsheetDrawing" xmlns:a="http://schemas.openxmlformats.org/drawingml/2006/main">
  <xdr:twoCellAnchor editAs="oneCell">
    <xdr:from>
      <xdr:col>14</xdr:col>
      <xdr:colOff>327605</xdr:colOff>
      <xdr:row>0</xdr:row>
      <xdr:rowOff>131347</xdr:rowOff>
    </xdr:from>
    <xdr:to>
      <xdr:col>15</xdr:col>
      <xdr:colOff>458345</xdr:colOff>
      <xdr:row>3</xdr:row>
      <xdr:rowOff>20738</xdr:rowOff>
    </xdr:to>
    <xdr:pic>
      <xdr:nvPicPr>
        <xdr:cNvPr id="4" name="Graphic 3" descr="Gears with solid fill">
          <a:extLst>
            <a:ext uri="{FF2B5EF4-FFF2-40B4-BE49-F238E27FC236}">
              <a16:creationId xmlns:a16="http://schemas.microsoft.com/office/drawing/2014/main" id="{85D85A45-AA94-29F9-EAA7-0EBFCF4D625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8041304">
          <a:off x="8602845" y="175903"/>
          <a:ext cx="832172" cy="743060"/>
        </a:xfrm>
        <a:prstGeom prst="rect">
          <a:avLst/>
        </a:prstGeom>
      </xdr:spPr>
    </xdr:pic>
    <xdr:clientData/>
  </xdr:twoCellAnchor>
  <xdr:twoCellAnchor editAs="oneCell">
    <xdr:from>
      <xdr:col>2</xdr:col>
      <xdr:colOff>59601</xdr:colOff>
      <xdr:row>22</xdr:row>
      <xdr:rowOff>56039</xdr:rowOff>
    </xdr:from>
    <xdr:to>
      <xdr:col>8</xdr:col>
      <xdr:colOff>676908</xdr:colOff>
      <xdr:row>27</xdr:row>
      <xdr:rowOff>105346</xdr:rowOff>
    </xdr:to>
    <xdr:pic>
      <xdr:nvPicPr>
        <xdr:cNvPr id="8" name="Picture 7">
          <a:extLst>
            <a:ext uri="{FF2B5EF4-FFF2-40B4-BE49-F238E27FC236}">
              <a16:creationId xmlns:a16="http://schemas.microsoft.com/office/drawing/2014/main" id="{F32B5B9A-19AF-0748-E342-4D6AE3C58694}"/>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958" t="33166" r="11088" b="36814"/>
        <a:stretch/>
      </xdr:blipFill>
      <xdr:spPr>
        <a:xfrm>
          <a:off x="560274" y="4647577"/>
          <a:ext cx="5010286" cy="961997"/>
        </a:xfrm>
        <a:prstGeom prst="rect">
          <a:avLst/>
        </a:prstGeom>
      </xdr:spPr>
    </xdr:pic>
    <xdr:clientData/>
  </xdr:twoCellAnchor>
  <xdr:twoCellAnchor editAs="oneCell">
    <xdr:from>
      <xdr:col>0</xdr:col>
      <xdr:colOff>0</xdr:colOff>
      <xdr:row>4</xdr:row>
      <xdr:rowOff>0</xdr:rowOff>
    </xdr:from>
    <xdr:to>
      <xdr:col>0</xdr:col>
      <xdr:colOff>383646</xdr:colOff>
      <xdr:row>5</xdr:row>
      <xdr:rowOff>142756</xdr:rowOff>
    </xdr:to>
    <xdr:pic>
      <xdr:nvPicPr>
        <xdr:cNvPr id="10" name="Graphic 9" descr="House with solid fill">
          <a:hlinkClick xmlns:r="http://schemas.openxmlformats.org/officeDocument/2006/relationships" r:id="rId4"/>
          <a:extLst>
            <a:ext uri="{FF2B5EF4-FFF2-40B4-BE49-F238E27FC236}">
              <a16:creationId xmlns:a16="http://schemas.microsoft.com/office/drawing/2014/main" id="{CE5C3E46-8A46-AAD7-AC59-6805A12A0E9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0" y="1111250"/>
          <a:ext cx="383646" cy="383646"/>
        </a:xfrm>
        <a:prstGeom prst="rect">
          <a:avLst/>
        </a:prstGeom>
      </xdr:spPr>
    </xdr:pic>
    <xdr:clientData/>
  </xdr:twoCellAnchor>
  <xdr:twoCellAnchor editAs="oneCell">
    <xdr:from>
      <xdr:col>0</xdr:col>
      <xdr:colOff>0</xdr:colOff>
      <xdr:row>7</xdr:row>
      <xdr:rowOff>19577</xdr:rowOff>
    </xdr:from>
    <xdr:to>
      <xdr:col>0</xdr:col>
      <xdr:colOff>383646</xdr:colOff>
      <xdr:row>8</xdr:row>
      <xdr:rowOff>210995</xdr:rowOff>
    </xdr:to>
    <xdr:pic>
      <xdr:nvPicPr>
        <xdr:cNvPr id="11" name="Graphic 10" descr="Folder Search with solid fill">
          <a:hlinkClick xmlns:r="http://schemas.openxmlformats.org/officeDocument/2006/relationships" r:id="rId7"/>
          <a:extLst>
            <a:ext uri="{FF2B5EF4-FFF2-40B4-BE49-F238E27FC236}">
              <a16:creationId xmlns:a16="http://schemas.microsoft.com/office/drawing/2014/main" id="{B9C458DF-E8AA-4FA6-A5B3-10A03DEBD3D2}"/>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0" y="1805515"/>
          <a:ext cx="383646" cy="383646"/>
        </a:xfrm>
        <a:prstGeom prst="rect">
          <a:avLst/>
        </a:prstGeom>
      </xdr:spPr>
    </xdr:pic>
    <xdr:clientData/>
  </xdr:twoCellAnchor>
  <xdr:twoCellAnchor editAs="oneCell">
    <xdr:from>
      <xdr:col>0</xdr:col>
      <xdr:colOff>16404</xdr:colOff>
      <xdr:row>10</xdr:row>
      <xdr:rowOff>27514</xdr:rowOff>
    </xdr:from>
    <xdr:to>
      <xdr:col>0</xdr:col>
      <xdr:colOff>396875</xdr:colOff>
      <xdr:row>12</xdr:row>
      <xdr:rowOff>37570</xdr:rowOff>
    </xdr:to>
    <xdr:pic>
      <xdr:nvPicPr>
        <xdr:cNvPr id="12" name="Graphic 11" descr="Database with solid fill">
          <a:hlinkClick xmlns:r="http://schemas.openxmlformats.org/officeDocument/2006/relationships" r:id="rId10"/>
          <a:extLst>
            <a:ext uri="{FF2B5EF4-FFF2-40B4-BE49-F238E27FC236}">
              <a16:creationId xmlns:a16="http://schemas.microsoft.com/office/drawing/2014/main" id="{CEB0D6B8-9CE4-45C7-AFE2-08D5855554B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rcRect/>
        <a:stretch/>
      </xdr:blipFill>
      <xdr:spPr>
        <a:xfrm>
          <a:off x="16404" y="2488139"/>
          <a:ext cx="380471" cy="380471"/>
        </a:xfrm>
        <a:prstGeom prst="rect">
          <a:avLst/>
        </a:prstGeom>
      </xdr:spPr>
    </xdr:pic>
    <xdr:clientData/>
  </xdr:twoCellAnchor>
  <xdr:twoCellAnchor editAs="oneCell">
    <xdr:from>
      <xdr:col>0</xdr:col>
      <xdr:colOff>0</xdr:colOff>
      <xdr:row>0</xdr:row>
      <xdr:rowOff>0</xdr:rowOff>
    </xdr:from>
    <xdr:to>
      <xdr:col>1</xdr:col>
      <xdr:colOff>0</xdr:colOff>
      <xdr:row>1</xdr:row>
      <xdr:rowOff>6414</xdr:rowOff>
    </xdr:to>
    <xdr:pic>
      <xdr:nvPicPr>
        <xdr:cNvPr id="13" name="Picture 12">
          <a:extLst>
            <a:ext uri="{FF2B5EF4-FFF2-40B4-BE49-F238E27FC236}">
              <a16:creationId xmlns:a16="http://schemas.microsoft.com/office/drawing/2014/main" id="{EF948B39-4A78-41DE-A06D-FBCCDD5FC75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0" y="0"/>
          <a:ext cx="505408" cy="554004"/>
        </a:xfrm>
        <a:prstGeom prst="rect">
          <a:avLst/>
        </a:prstGeom>
      </xdr:spPr>
    </xdr:pic>
    <xdr:clientData/>
  </xdr:twoCellAnchor>
  <xdr:twoCellAnchor editAs="oneCell">
    <xdr:from>
      <xdr:col>0</xdr:col>
      <xdr:colOff>0</xdr:colOff>
      <xdr:row>12</xdr:row>
      <xdr:rowOff>135448</xdr:rowOff>
    </xdr:from>
    <xdr:to>
      <xdr:col>0</xdr:col>
      <xdr:colOff>460229</xdr:colOff>
      <xdr:row>15</xdr:row>
      <xdr:rowOff>57519</xdr:rowOff>
    </xdr:to>
    <xdr:pic>
      <xdr:nvPicPr>
        <xdr:cNvPr id="3" name="Graphic 2" descr="Open book with solid fill">
          <a:hlinkClick xmlns:r="http://schemas.openxmlformats.org/officeDocument/2006/relationships" r:id="rId14"/>
          <a:extLst>
            <a:ext uri="{FF2B5EF4-FFF2-40B4-BE49-F238E27FC236}">
              <a16:creationId xmlns:a16="http://schemas.microsoft.com/office/drawing/2014/main" id="{E9FFFC76-CEAC-2DCB-0E6E-069DDBCAAF2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0" y="2902650"/>
          <a:ext cx="460229" cy="4638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383646</xdr:colOff>
      <xdr:row>6</xdr:row>
      <xdr:rowOff>16404</xdr:rowOff>
    </xdr:to>
    <xdr:pic>
      <xdr:nvPicPr>
        <xdr:cNvPr id="5" name="Graphic 4" descr="House with solid fill">
          <a:hlinkClick xmlns:r="http://schemas.openxmlformats.org/officeDocument/2006/relationships" r:id="rId1"/>
          <a:extLst>
            <a:ext uri="{FF2B5EF4-FFF2-40B4-BE49-F238E27FC236}">
              <a16:creationId xmlns:a16="http://schemas.microsoft.com/office/drawing/2014/main" id="{0C87236F-D78F-40BB-B2AC-547A7B92AB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23950"/>
          <a:ext cx="383646" cy="397404"/>
        </a:xfrm>
        <a:prstGeom prst="rect">
          <a:avLst/>
        </a:prstGeom>
      </xdr:spPr>
    </xdr:pic>
    <xdr:clientData/>
  </xdr:twoCellAnchor>
  <xdr:twoCellAnchor editAs="oneCell">
    <xdr:from>
      <xdr:col>0</xdr:col>
      <xdr:colOff>0</xdr:colOff>
      <xdr:row>7</xdr:row>
      <xdr:rowOff>19577</xdr:rowOff>
    </xdr:from>
    <xdr:to>
      <xdr:col>0</xdr:col>
      <xdr:colOff>383646</xdr:colOff>
      <xdr:row>9</xdr:row>
      <xdr:rowOff>35982</xdr:rowOff>
    </xdr:to>
    <xdr:pic>
      <xdr:nvPicPr>
        <xdr:cNvPr id="6" name="Graphic 5" descr="Folder Search with solid fill">
          <a:hlinkClick xmlns:r="http://schemas.openxmlformats.org/officeDocument/2006/relationships" r:id="rId4"/>
          <a:extLst>
            <a:ext uri="{FF2B5EF4-FFF2-40B4-BE49-F238E27FC236}">
              <a16:creationId xmlns:a16="http://schemas.microsoft.com/office/drawing/2014/main" id="{1AD7D5C5-B935-45A4-9DF9-B15EF56B05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0" y="1829327"/>
          <a:ext cx="383646" cy="397405"/>
        </a:xfrm>
        <a:prstGeom prst="rect">
          <a:avLst/>
        </a:prstGeom>
      </xdr:spPr>
    </xdr:pic>
    <xdr:clientData/>
  </xdr:twoCellAnchor>
  <xdr:twoCellAnchor editAs="oneCell">
    <xdr:from>
      <xdr:col>0</xdr:col>
      <xdr:colOff>16404</xdr:colOff>
      <xdr:row>10</xdr:row>
      <xdr:rowOff>27514</xdr:rowOff>
    </xdr:from>
    <xdr:to>
      <xdr:col>0</xdr:col>
      <xdr:colOff>396875</xdr:colOff>
      <xdr:row>12</xdr:row>
      <xdr:rowOff>37569</xdr:rowOff>
    </xdr:to>
    <xdr:pic>
      <xdr:nvPicPr>
        <xdr:cNvPr id="7" name="Graphic 6" descr="Database with solid fill">
          <a:hlinkClick xmlns:r="http://schemas.openxmlformats.org/officeDocument/2006/relationships" r:id="rId7"/>
          <a:extLst>
            <a:ext uri="{FF2B5EF4-FFF2-40B4-BE49-F238E27FC236}">
              <a16:creationId xmlns:a16="http://schemas.microsoft.com/office/drawing/2014/main" id="{A51322AA-4287-41B9-A7BC-CECB5936FDD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16404" y="2411939"/>
          <a:ext cx="380471" cy="387880"/>
        </a:xfrm>
        <a:prstGeom prst="rect">
          <a:avLst/>
        </a:prstGeom>
      </xdr:spPr>
    </xdr:pic>
    <xdr:clientData/>
  </xdr:twoCellAnchor>
  <xdr:twoCellAnchor editAs="oneCell">
    <xdr:from>
      <xdr:col>0</xdr:col>
      <xdr:colOff>0</xdr:colOff>
      <xdr:row>0</xdr:row>
      <xdr:rowOff>0</xdr:rowOff>
    </xdr:from>
    <xdr:to>
      <xdr:col>2</xdr:col>
      <xdr:colOff>15387</xdr:colOff>
      <xdr:row>2</xdr:row>
      <xdr:rowOff>110826</xdr:rowOff>
    </xdr:to>
    <xdr:pic>
      <xdr:nvPicPr>
        <xdr:cNvPr id="9" name="Picture 8">
          <a:extLst>
            <a:ext uri="{FF2B5EF4-FFF2-40B4-BE49-F238E27FC236}">
              <a16:creationId xmlns:a16="http://schemas.microsoft.com/office/drawing/2014/main" id="{3327B2C9-03BA-E55F-C68B-F0A99AD1F79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0" y="0"/>
          <a:ext cx="491637" cy="501595"/>
        </a:xfrm>
        <a:prstGeom prst="rect">
          <a:avLst/>
        </a:prstGeom>
      </xdr:spPr>
    </xdr:pic>
    <xdr:clientData/>
  </xdr:twoCellAnchor>
  <xdr:twoCellAnchor>
    <xdr:from>
      <xdr:col>0</xdr:col>
      <xdr:colOff>470389</xdr:colOff>
      <xdr:row>0</xdr:row>
      <xdr:rowOff>0</xdr:rowOff>
    </xdr:from>
    <xdr:to>
      <xdr:col>1</xdr:col>
      <xdr:colOff>2002693</xdr:colOff>
      <xdr:row>2</xdr:row>
      <xdr:rowOff>109904</xdr:rowOff>
    </xdr:to>
    <xdr:pic>
      <xdr:nvPicPr>
        <xdr:cNvPr id="12" name="Picture 11">
          <a:extLst>
            <a:ext uri="{FF2B5EF4-FFF2-40B4-BE49-F238E27FC236}">
              <a16:creationId xmlns:a16="http://schemas.microsoft.com/office/drawing/2014/main" id="{B398ECBE-0D5E-7E93-4830-0FE5BFC050D3}"/>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25924" t="36398" r="13116" b="41323"/>
        <a:stretch/>
      </xdr:blipFill>
      <xdr:spPr>
        <a:xfrm>
          <a:off x="470389" y="0"/>
          <a:ext cx="2008554" cy="5006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53</xdr:row>
          <xdr:rowOff>165100</xdr:rowOff>
        </xdr:from>
        <xdr:to>
          <xdr:col>2</xdr:col>
          <xdr:colOff>146050</xdr:colOff>
          <xdr:row>55</xdr:row>
          <xdr:rowOff>69850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Northern Ireland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184150</xdr:colOff>
          <xdr:row>53</xdr:row>
          <xdr:rowOff>165100</xdr:rowOff>
        </xdr:from>
        <xdr:to>
          <xdr:col>4</xdr:col>
          <xdr:colOff>412750</xdr:colOff>
          <xdr:row>55</xdr:row>
          <xdr:rowOff>69850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Super Data Zones / Data Zones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679450</xdr:colOff>
          <xdr:row>53</xdr:row>
          <xdr:rowOff>165100</xdr:rowOff>
        </xdr:from>
        <xdr:to>
          <xdr:col>5</xdr:col>
          <xdr:colOff>355600</xdr:colOff>
          <xdr:row>55</xdr:row>
          <xdr:rowOff>69850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Super Output Areas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565150</xdr:colOff>
          <xdr:row>53</xdr:row>
          <xdr:rowOff>152400</xdr:rowOff>
        </xdr:from>
        <xdr:to>
          <xdr:col>6</xdr:col>
          <xdr:colOff>571500</xdr:colOff>
          <xdr:row>55</xdr:row>
          <xdr:rowOff>69850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Postcode Boundaries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53</xdr:row>
          <xdr:rowOff>165100</xdr:rowOff>
        </xdr:from>
        <xdr:to>
          <xdr:col>3</xdr:col>
          <xdr:colOff>19050</xdr:colOff>
          <xdr:row>55</xdr:row>
          <xdr:rowOff>69850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Local Government Districts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69850</xdr:colOff>
          <xdr:row>64</xdr:row>
          <xdr:rowOff>12700</xdr:rowOff>
        </xdr:from>
        <xdr:to>
          <xdr:col>1</xdr:col>
          <xdr:colOff>869950</xdr:colOff>
          <xdr:row>65</xdr:row>
          <xdr:rowOff>38100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PDF Map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895350</xdr:colOff>
          <xdr:row>63</xdr:row>
          <xdr:rowOff>171450</xdr:rowOff>
        </xdr:from>
        <xdr:to>
          <xdr:col>4</xdr:col>
          <xdr:colOff>736600</xdr:colOff>
          <xdr:row>65</xdr:row>
          <xdr:rowOff>57150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Written Statement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1098550</xdr:colOff>
          <xdr:row>64</xdr:row>
          <xdr:rowOff>12700</xdr:rowOff>
        </xdr:from>
        <xdr:to>
          <xdr:col>2</xdr:col>
          <xdr:colOff>793750</xdr:colOff>
          <xdr:row>65</xdr:row>
          <xdr:rowOff>38100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JPEG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64</xdr:row>
          <xdr:rowOff>12700</xdr:rowOff>
        </xdr:from>
        <xdr:to>
          <xdr:col>2</xdr:col>
          <xdr:colOff>1619250</xdr:colOff>
          <xdr:row>65</xdr:row>
          <xdr:rowOff>31750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Excel Table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64</xdr:row>
          <xdr:rowOff>12700</xdr:rowOff>
        </xdr:from>
        <xdr:to>
          <xdr:col>3</xdr:col>
          <xdr:colOff>812800</xdr:colOff>
          <xdr:row>65</xdr:row>
          <xdr:rowOff>38100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Graph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70</xdr:row>
          <xdr:rowOff>0</xdr:rowOff>
        </xdr:from>
        <xdr:to>
          <xdr:col>1</xdr:col>
          <xdr:colOff>1022350</xdr:colOff>
          <xdr:row>71</xdr:row>
          <xdr:rowOff>38100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Internal (DfE)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1314450</xdr:colOff>
          <xdr:row>70</xdr:row>
          <xdr:rowOff>0</xdr:rowOff>
        </xdr:from>
        <xdr:to>
          <xdr:col>3</xdr:col>
          <xdr:colOff>660400</xdr:colOff>
          <xdr:row>71</xdr:row>
          <xdr:rowOff>76200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External/Public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146050</xdr:colOff>
          <xdr:row>70</xdr:row>
          <xdr:rowOff>0</xdr:rowOff>
        </xdr:from>
        <xdr:to>
          <xdr:col>2</xdr:col>
          <xdr:colOff>1066800</xdr:colOff>
          <xdr:row>71</xdr:row>
          <xdr:rowOff>57150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GB" sz="800" b="0" i="0" u="none" strike="noStrike" baseline="0">
                  <a:solidFill>
                    <a:srgbClr val="000000"/>
                  </a:solidFill>
                  <a:latin typeface="Segoe UI"/>
                  <a:cs typeface="Segoe UI"/>
                </a:rPr>
                <a:t>Internal (NICS)</a:t>
              </a:r>
            </a:p>
          </xdr:txBody>
        </xdr:sp>
        <xdr:clientData/>
      </xdr:twoCellAnchor>
    </mc:Choice>
    <mc:Fallback/>
  </mc:AlternateContent>
  <xdr:twoCellAnchor>
    <xdr:from>
      <xdr:col>1</xdr:col>
      <xdr:colOff>0</xdr:colOff>
      <xdr:row>76</xdr:row>
      <xdr:rowOff>112712</xdr:rowOff>
    </xdr:from>
    <xdr:to>
      <xdr:col>2</xdr:col>
      <xdr:colOff>1184275</xdr:colOff>
      <xdr:row>88</xdr:row>
      <xdr:rowOff>36512</xdr:rowOff>
    </xdr:to>
    <mc:AlternateContent xmlns:mc="http://schemas.openxmlformats.org/markup-compatibility/2006">
      <mc:Choice xmlns:we="http://schemas.microsoft.com/office/webextensions/webextension/2010/11" Requires="we">
        <xdr:graphicFrame macro="">
          <xdr:nvGraphicFramePr>
            <xdr:cNvPr id="2" name="Add-in 1">
              <a:extLst>
                <a:ext uri="{FF2B5EF4-FFF2-40B4-BE49-F238E27FC236}">
                  <a16:creationId xmlns:a16="http://schemas.microsoft.com/office/drawing/2014/main" id="{47F7CE72-1959-A330-96A2-8C77D0B9A8A5}"/>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Add-in 1">
              <a:extLst>
                <a:ext uri="{FF2B5EF4-FFF2-40B4-BE49-F238E27FC236}">
                  <a16:creationId xmlns:a16="http://schemas.microsoft.com/office/drawing/2014/main" id="{47F7CE72-1959-A330-96A2-8C77D0B9A8A5}"/>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ener, Katie" refreshedDate="45754.573750462965" createdVersion="8" refreshedVersion="8" minRefreshableVersion="3" recordCount="109" xr:uid="{9351662F-D88A-4D99-820E-3742BA8B5E81}">
  <cacheSource type="worksheet">
    <worksheetSource name="Table1"/>
  </cacheSource>
  <cacheFields count="15">
    <cacheField name="Title" numFmtId="0">
      <sharedItems count="114">
        <s v="Renewable Energy Planning Database (REPD)"/>
        <s v="Renewable Energy Planning Applications"/>
        <s v="OSNI Fusion Road Network"/>
        <s v="Regional Renewable Installs"/>
        <s v="Pre-Planning Statistics"/>
        <s v="Renewable Electricity Installed Capacity"/>
        <s v="Regional Load Factors"/>
        <s v="Regional Generation Statistics"/>
        <s v="Global Solar Atlas"/>
        <s v="Global Wind Atlas"/>
        <s v="Regional Gas Consumption 2015-2023"/>
        <s v="Domestic Electricity Consumption"/>
        <s v="Fuel Poverty"/>
        <s v="Domestic Energy Expenditure"/>
        <s v="Business Energy Prices"/>
        <s v="Total Final Energy Consumption"/>
        <s v="Greenhouse Gas Projections"/>
        <s v="HED GIS Layers"/>
        <s v="Peatlands - Priority Habitat"/>
        <s v="Heathland - Priority Habitat"/>
        <s v="Fens - Priority Habitat"/>
        <s v="Woodland - Priority Habitat"/>
        <s v="Grassland - Priority Habitat"/>
        <s v="Areas of Outstanding Natural Beauty (AONB)"/>
        <s v="Special Areas of Conservation (SAC)"/>
        <s v="State Forestry"/>
        <s v="NIE Capactior Banks"/>
        <s v="NIE Circuit Breakers"/>
        <s v="NIE Distribution Tap Changers"/>
        <s v="NIE Earthing Transformers"/>
        <s v="NIE Liquid Neutral Earthing Resistors (LNERs)"/>
        <s v="NIE LV Switchgear"/>
        <s v="NIE Metaclad Switchgear"/>
        <s v="NIE Power Flow Controllers"/>
        <s v="NIE Primary Transformers"/>
        <s v="NIE Secondary Transformers"/>
        <s v="NIE Bulk Supply Points"/>
        <s v="NIE Grid Bulk and Primary Sites"/>
        <s v="NIE Grid Supply Points"/>
        <s v="NIE Primary Substations"/>
        <s v="NIE Transmission Circuit Breakers"/>
        <s v="NIE Transmission Switchgear"/>
        <s v="NIE Transmission Transformers"/>
        <s v="NIE Dataset of Datesets"/>
        <s v="NIE Live Network Faults"/>
        <s v="NIE Assets All"/>
        <s v="OSNI Pointer"/>
        <s v="LPS Property Data"/>
        <s v="OSNI Orthophotography"/>
        <s v="OSNI 4 Band Near Infr-Red Orthophotography"/>
        <s v="OSNI Enhanced Digital Terrain Model"/>
        <s v="OSNI Digital Surface Model "/>
        <s v="OSNI Histroical Mapping"/>
        <s v="OSNI Fusion"/>
        <s v="Bathymetric LiDar"/>
        <s v="Satellite Derived Bathymetry"/>
        <s v="Coastal Bedrock Geology"/>
        <s v="Historic Shoreline Analysis"/>
        <s v="NI First Order Cells Delineation"/>
        <s v="Coastal Superficial Geology"/>
        <s v="Coastal Change Information Tool"/>
        <s v="UKCP18 Probalistic Projections by UK Countries for 1961-2100"/>
        <s v="UKCP projected future extreme sea levels at approximately 2 km spacing around the UK coastline for 2020-2300, using exploratory extended time-mean sea level projections"/>
        <s v="UKCP09: Met Office regional land surface climate observations - long term averages for administrative regions and river basins"/>
        <s v="Copernicus Satellite Data"/>
        <s v="Local Government Districts 2012"/>
        <s v="Special Protection Areas (SPA)"/>
        <s v="Areas of Special Scientific Interest (ASSI)"/>
        <s v="RAMSAR Sites"/>
        <s v="Marine Protected Areas (MPAs)"/>
        <s v="IUCN Key Biodiversity Areas"/>
        <s v="Important Bird Areas"/>
        <s v="Combined effects of land-based pressures on maine species and habitats in Europe's seas"/>
        <s v="Speed Tests (broadband and mobile together)"/>
        <s v="UK Local Authority and Regional Carbon Dioxide Emissions"/>
        <s v="UK Air Information Resource"/>
        <s v="Mid Year Population Estimtes"/>
        <s v="Migration and other changes (NISRA Components of Population Change)"/>
        <s v="Employment Rate"/>
        <s v="Koppen-Geiger Climate Classification"/>
        <s v="Further Education Sector Activities"/>
        <s v="ApprenticeshipNI Statistics"/>
        <s v="Enrolments at UK Higher Education Institutions: Northern Ireland Analysis"/>
        <s v="EPC Data"/>
        <s v="Solar PV (GIA)"/>
        <s v="Solar PV (Ulster University)"/>
        <s v="Global Essemble DTM 30m"/>
        <s v="Cloud Optimised DTMs (specific areas)"/>
        <s v="SciGrid Gas Network"/>
        <s v="ENTSO-E map - Electricity Grid"/>
        <s v="Hydrogen Infrastructure Map"/>
        <s v="System Capacity Map"/>
        <s v="ENSTO-G Capacity "/>
        <s v="European Gas Flow Dashboard"/>
        <s v="European Gas Storage Dashboard"/>
        <s v="UK and Surrounding EU Coastline"/>
        <s v="Sub-national Residual Fuel Consumption"/>
        <s v="Road Transport Energy Consumption in the UK"/>
        <s v="Northern Ireland's GHG Inventory by source (1990-2022)"/>
        <s v="UK Greenhouse Gas Emissions"/>
        <s v="1:250k Geological Maps"/>
        <s v="Northern Ireland Bedrock Geology Polygons"/>
        <s v="Northern Ireland Superficial Geology Polygons "/>
        <s v="Real Time System Information"/>
        <s v="System and Renewable Data Summary"/>
        <s v="Waste Heat Point Sources"/>
        <s v="District Heating Areas"/>
        <s v="Tidal Data"/>
        <s v="Wave Data"/>
        <s v="Cloud Optimised DTMs" u="1"/>
        <s v="Road Transport Energy Consumption" u="1"/>
        <s v="Road Network" u="1"/>
        <s v="AONB" u="1"/>
        <s v="SAC" u="1"/>
      </sharedItems>
    </cacheField>
    <cacheField name="Sharing Status" numFmtId="0">
      <sharedItems count="3">
        <s v="Open Data"/>
        <s v="Internal Only"/>
        <s v="Project Specific"/>
      </sharedItems>
    </cacheField>
    <cacheField name="Format" numFmtId="0">
      <sharedItems containsBlank="1" count="13">
        <s v="CSV"/>
        <s v="XLSX"/>
        <s v="ESRI GDB"/>
        <s v="XLXS"/>
        <s v="Tiff"/>
        <s v="PDF"/>
        <s v="Rest/OGC"/>
        <s v="ESRI Shapefile"/>
        <s v="geoJSON"/>
        <m/>
        <s v="TXT"/>
        <s v="JPG"/>
        <s v="Website"/>
      </sharedItems>
    </cacheField>
    <cacheField name="Spatial Coverage" numFmtId="0">
      <sharedItems containsBlank="1"/>
    </cacheField>
    <cacheField name="Spatial Scale " numFmtId="0">
      <sharedItems/>
    </cacheField>
    <cacheField name="First Available Version" numFmtId="0">
      <sharedItems containsNonDate="0" containsString="0" containsBlank="1"/>
    </cacheField>
    <cacheField name="Most Recent Version " numFmtId="0">
      <sharedItems containsBlank="1" containsMixedTypes="1" containsNumber="1" containsInteger="1" minValue="2008" maxValue="2024"/>
    </cacheField>
    <cacheField name="Update Frequency" numFmtId="0">
      <sharedItems/>
    </cacheField>
    <cacheField name="Last Updated/Published" numFmtId="0">
      <sharedItems containsNonDate="0" containsDate="1" containsString="0" containsBlank="1" minDate="2012-02-02T00:00:00" maxDate="2025-04-08T00:00:00"/>
    </cacheField>
    <cacheField name="Data Owner" numFmtId="0">
      <sharedItems containsBlank="1" count="35">
        <s v="DESNZ"/>
        <s v="DfI"/>
        <s v="OSNI"/>
        <s v="RenewablesNI"/>
        <s v="SolarGIS"/>
        <s v="NIHE"/>
        <s v="CCNI"/>
        <s v="NISRA"/>
        <s v="DEARA"/>
        <s v="DfC"/>
        <s v="NIEA"/>
        <s v="Forest Service"/>
        <s v="NIE"/>
        <s v="Met Office"/>
        <s v="Copernicus"/>
        <s v="IUCN"/>
        <s v="Bird Life"/>
        <s v="European Environment Agency"/>
        <s v="thinkBroadband"/>
        <s v="DBEIS"/>
        <s v="DEFRA"/>
        <s v="ESRI"/>
        <s v="DfE"/>
        <s v="Open Land Map"/>
        <s v="Better Open Data"/>
        <s v="DLR Institute of Networked Energy Systems"/>
        <s v="ENTSO-E"/>
        <s v="ENTSO-G"/>
        <s v="Oil and Gas Authority"/>
        <s v="National Atmospheric Emissions Inventory"/>
        <s v="GSNI"/>
        <s v="SONI"/>
        <s v="ReUseHeat"/>
        <s v="UK Renewables Atlas"/>
        <m u="1"/>
      </sharedItems>
    </cacheField>
    <cacheField name="Data Owner Category" numFmtId="0">
      <sharedItems containsBlank="1"/>
    </cacheField>
    <cacheField name="Metadata" numFmtId="0">
      <sharedItems containsBlank="1"/>
    </cacheField>
    <cacheField name="Link to Source" numFmtId="0">
      <sharedItems containsBlank="1"/>
    </cacheField>
    <cacheField name="Tags " numFmtId="0">
      <sharedItems/>
    </cacheField>
    <cacheField name="Rating" numFmtId="0">
      <sharedItems containsString="0" containsBlank="1" containsNumber="1" containsInteger="1" minValue="4" maxValue="5" count="3">
        <m/>
        <n v="5"/>
        <n v="4"/>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9">
  <r>
    <x v="0"/>
    <x v="0"/>
    <x v="0"/>
    <s v="UK"/>
    <s v="Exact Location"/>
    <m/>
    <m/>
    <s v="Q"/>
    <d v="2024-11-18T00:00:00"/>
    <x v="0"/>
    <s v="Government/Public Body"/>
    <m/>
    <s v="Link "/>
    <s v="Solar"/>
    <x v="0"/>
  </r>
  <r>
    <x v="1"/>
    <x v="0"/>
    <x v="1"/>
    <s v="NI"/>
    <s v="Exact Location"/>
    <m/>
    <s v="April 2002-December 2023"/>
    <s v="U"/>
    <d v="2023-12-01T00:00:00"/>
    <x v="1"/>
    <s v="Government/Public Body"/>
    <s v="Included in download link"/>
    <s v="Link"/>
    <s v="Renewable Energy Infrastructure"/>
    <x v="0"/>
  </r>
  <r>
    <x v="2"/>
    <x v="1"/>
    <x v="2"/>
    <s v="NI"/>
    <s v="Exact Location"/>
    <m/>
    <s v="N/A"/>
    <s v="AN"/>
    <m/>
    <x v="2"/>
    <s v="Government/Public Body"/>
    <s v="Available from OSNI"/>
    <s v="NIMA"/>
    <s v="Non-Energy Related Infrastructure"/>
    <x v="1"/>
  </r>
  <r>
    <x v="3"/>
    <x v="0"/>
    <x v="3"/>
    <s v="UK"/>
    <s v="LGD2014"/>
    <m/>
    <s v="2003-2023"/>
    <s v="A"/>
    <d v="2024-12-31T00:00:00"/>
    <x v="0"/>
    <s v="Government/Public Body"/>
    <s v="Included in download link"/>
    <s v="Link"/>
    <s v="Renewable Energy Infrastructure"/>
    <x v="0"/>
  </r>
  <r>
    <x v="4"/>
    <x v="2"/>
    <x v="3"/>
    <s v="NI"/>
    <s v="Exact Location"/>
    <m/>
    <s v="Current"/>
    <s v="AN"/>
    <m/>
    <x v="3"/>
    <s v="Lobby Group"/>
    <m/>
    <s v="Upon Request"/>
    <s v="Renewable Energy Infrastructure"/>
    <x v="0"/>
  </r>
  <r>
    <x v="5"/>
    <x v="0"/>
    <x v="3"/>
    <s v="UK"/>
    <s v="Exact Location"/>
    <m/>
    <s v="2003-2023"/>
    <s v="A"/>
    <d v="2024-12-31T00:00:00"/>
    <x v="0"/>
    <s v="Government/Public Body"/>
    <s v="Included in download link"/>
    <s v="Link"/>
    <s v="Renewable Energy Infrastructure"/>
    <x v="0"/>
  </r>
  <r>
    <x v="6"/>
    <x v="0"/>
    <x v="3"/>
    <s v="UK"/>
    <s v="Northern Ireland"/>
    <m/>
    <s v="2003-2023"/>
    <s v="A"/>
    <d v="2024-12-31T00:00:00"/>
    <x v="0"/>
    <s v="Government/Public Body"/>
    <s v="Included in download link"/>
    <s v="Link"/>
    <s v="Network Grid, Consumption"/>
    <x v="0"/>
  </r>
  <r>
    <x v="7"/>
    <x v="0"/>
    <x v="1"/>
    <s v="UK"/>
    <s v="Northern Ireland"/>
    <m/>
    <s v="2003-2023"/>
    <s v="A"/>
    <d v="2024-12-31T00:00:00"/>
    <x v="0"/>
    <s v="Government/Public Body"/>
    <s v="Included in download link"/>
    <s v="Link"/>
    <s v="Generation"/>
    <x v="0"/>
  </r>
  <r>
    <x v="8"/>
    <x v="0"/>
    <x v="4"/>
    <s v="Global"/>
    <s v="Exact Location"/>
    <m/>
    <s v="1994-Present"/>
    <s v="M"/>
    <m/>
    <x v="4"/>
    <s v="Private Company"/>
    <s v="Included in download link"/>
    <s v="Link"/>
    <s v="Solar, Generation"/>
    <x v="0"/>
  </r>
  <r>
    <x v="9"/>
    <x v="0"/>
    <x v="4"/>
    <s v="Global"/>
    <s v="Exact Location"/>
    <m/>
    <s v="1994-Present"/>
    <s v="M"/>
    <m/>
    <x v="4"/>
    <s v="Private Company"/>
    <s v="Included in download link"/>
    <s v="Link"/>
    <s v="Onshore Wind, Offshore Wind, Generation"/>
    <x v="0"/>
  </r>
  <r>
    <x v="10"/>
    <x v="0"/>
    <x v="3"/>
    <s v="NI"/>
    <s v="Northern Ireland"/>
    <m/>
    <s v="2015-2023"/>
    <s v="A"/>
    <d v="2024-12-19T00:00:00"/>
    <x v="0"/>
    <s v="Government/Public Body"/>
    <s v="Included in download link"/>
    <s v="Link"/>
    <s v="Gas, Consumption"/>
    <x v="0"/>
  </r>
  <r>
    <x v="11"/>
    <x v="0"/>
    <x v="1"/>
    <s v="NI"/>
    <s v="LGD1992"/>
    <m/>
    <s v="2008-2016"/>
    <s v="A"/>
    <d v="2018-09-27T00:00:00"/>
    <x v="0"/>
    <s v="Government/Public Body"/>
    <s v="Included in download link"/>
    <s v="Link"/>
    <s v="Network Grid, Onshore Wind"/>
    <x v="0"/>
  </r>
  <r>
    <x v="12"/>
    <x v="0"/>
    <x v="1"/>
    <s v="NI"/>
    <s v="LGD1992"/>
    <m/>
    <n v="2016"/>
    <s v="AN"/>
    <d v="2016-01-01T00:00:00"/>
    <x v="5"/>
    <s v="Government/Public Body"/>
    <s v="Included in download link"/>
    <s v="Link"/>
    <s v="Solar"/>
    <x v="2"/>
  </r>
  <r>
    <x v="13"/>
    <x v="0"/>
    <x v="5"/>
    <s v="NI"/>
    <s v="Northern Ireland"/>
    <m/>
    <s v="2022-2024"/>
    <s v="Q"/>
    <d v="2025-02-12T00:00:00"/>
    <x v="6"/>
    <s v="Government/Public Body"/>
    <m/>
    <s v="Link"/>
    <s v="Socioeconomic"/>
    <x v="0"/>
  </r>
  <r>
    <x v="14"/>
    <x v="0"/>
    <x v="1"/>
    <s v="NI"/>
    <s v="Northern Ireland"/>
    <m/>
    <s v="2005-2023"/>
    <s v="A"/>
    <d v="2024-12-11T00:00:00"/>
    <x v="7"/>
    <s v="Government/Public Body"/>
    <s v="Link"/>
    <s v="Link"/>
    <s v="Socioeconomic, Consumption"/>
    <x v="1"/>
  </r>
  <r>
    <x v="15"/>
    <x v="0"/>
    <x v="1"/>
    <s v="UK"/>
    <s v="LGD2014"/>
    <m/>
    <s v="2005-2022"/>
    <s v="A"/>
    <d v="2024-09-26T00:00:00"/>
    <x v="0"/>
    <s v="Government/Public Body"/>
    <s v="Included in download link"/>
    <s v="Link"/>
    <s v="Consumption"/>
    <x v="0"/>
  </r>
  <r>
    <x v="16"/>
    <x v="0"/>
    <x v="1"/>
    <s v="NI"/>
    <s v="Northern Ireland"/>
    <m/>
    <s v="1995-2032"/>
    <s v="A"/>
    <d v="2024-09-27T00:00:00"/>
    <x v="8"/>
    <s v="Government/Public Body"/>
    <s v="Included in download link"/>
    <s v="Link"/>
    <s v="Emissions"/>
    <x v="0"/>
  </r>
  <r>
    <x v="17"/>
    <x v="0"/>
    <x v="6"/>
    <s v="NI"/>
    <s v="Exact Location"/>
    <m/>
    <s v="Current"/>
    <s v="M"/>
    <d v="2024-06-10T00:00:00"/>
    <x v="9"/>
    <s v="Government/Public Body"/>
    <s v="Included in download link"/>
    <s v="Link"/>
    <s v="Non-Energy Related Infrastructure, Natural Environment"/>
    <x v="0"/>
  </r>
  <r>
    <x v="18"/>
    <x v="0"/>
    <x v="6"/>
    <s v="NI"/>
    <s v="Exact Location"/>
    <m/>
    <s v="Current"/>
    <s v="AN"/>
    <d v="2024-12-13T00:00:00"/>
    <x v="8"/>
    <s v="Government/Public Body"/>
    <s v="Link"/>
    <s v="Link"/>
    <s v="Natural Environment, Boundaries, Hydrogen"/>
    <x v="0"/>
  </r>
  <r>
    <x v="19"/>
    <x v="0"/>
    <x v="6"/>
    <s v="NI"/>
    <s v="Exact Location"/>
    <m/>
    <s v="Current"/>
    <s v="AN"/>
    <d v="2024-12-13T00:00:00"/>
    <x v="8"/>
    <s v="Government/Public Body"/>
    <s v="Link"/>
    <s v="Link"/>
    <s v="Natural Environment"/>
    <x v="0"/>
  </r>
  <r>
    <x v="20"/>
    <x v="0"/>
    <x v="6"/>
    <s v="NI"/>
    <s v="Exact Location"/>
    <m/>
    <s v="Current"/>
    <s v="AN"/>
    <d v="2024-12-13T00:00:00"/>
    <x v="8"/>
    <s v="Government/Public Body"/>
    <s v="Link"/>
    <s v="Link"/>
    <s v="Natural Environment"/>
    <x v="0"/>
  </r>
  <r>
    <x v="21"/>
    <x v="0"/>
    <x v="6"/>
    <s v="NI"/>
    <s v="Exact Location"/>
    <m/>
    <s v="Current"/>
    <s v="AN"/>
    <d v="2024-12-13T00:00:00"/>
    <x v="8"/>
    <s v="Government/Public Body"/>
    <s v="Link"/>
    <s v="Link"/>
    <s v="Natural Environment"/>
    <x v="0"/>
  </r>
  <r>
    <x v="22"/>
    <x v="0"/>
    <x v="6"/>
    <s v="NI"/>
    <s v="Exact Location"/>
    <m/>
    <s v="Current"/>
    <s v="AN"/>
    <d v="2024-12-13T00:00:00"/>
    <x v="8"/>
    <s v="Government/Public Body"/>
    <s v="Link"/>
    <s v="Link"/>
    <s v="Natural Environment"/>
    <x v="0"/>
  </r>
  <r>
    <x v="23"/>
    <x v="0"/>
    <x v="7"/>
    <s v="NI"/>
    <s v="Exact Location"/>
    <m/>
    <s v="Current"/>
    <s v="AN"/>
    <d v="2016-10-04T00:00:00"/>
    <x v="10"/>
    <s v="Government/Public Body"/>
    <s v="Link"/>
    <s v="Link"/>
    <s v="Natural Environment"/>
    <x v="0"/>
  </r>
  <r>
    <x v="24"/>
    <x v="0"/>
    <x v="7"/>
    <s v="NI"/>
    <s v="Exact Location"/>
    <m/>
    <s v="Current"/>
    <s v="AN"/>
    <d v="2023-01-17T00:00:00"/>
    <x v="8"/>
    <s v="Government/Public Body"/>
    <s v="Link"/>
    <s v="Link"/>
    <s v="Natural Environment"/>
    <x v="0"/>
  </r>
  <r>
    <x v="25"/>
    <x v="0"/>
    <x v="6"/>
    <s v="NI"/>
    <s v="Exact Location"/>
    <m/>
    <s v="Current"/>
    <s v="AN"/>
    <d v="2019-06-26T00:00:00"/>
    <x v="11"/>
    <s v="Government/Public Body"/>
    <s v="Link"/>
    <s v="Link"/>
    <s v="Natural Environment"/>
    <x v="0"/>
  </r>
  <r>
    <x v="26"/>
    <x v="0"/>
    <x v="8"/>
    <s v="NI"/>
    <s v="Exact Location"/>
    <m/>
    <n v="2023"/>
    <s v="U"/>
    <d v="2025-03-23T00:00:00"/>
    <x v="12"/>
    <s v="Utility"/>
    <s v="Link"/>
    <s v="Link"/>
    <s v="Network Grid"/>
    <x v="2"/>
  </r>
  <r>
    <x v="27"/>
    <x v="0"/>
    <x v="8"/>
    <s v="NI"/>
    <s v="Exact Location"/>
    <m/>
    <n v="2023"/>
    <s v="U"/>
    <d v="2025-03-23T00:00:00"/>
    <x v="12"/>
    <s v="Utility"/>
    <m/>
    <m/>
    <s v="Network Grid"/>
    <x v="2"/>
  </r>
  <r>
    <x v="28"/>
    <x v="0"/>
    <x v="8"/>
    <s v="NI"/>
    <s v="Exact Location"/>
    <m/>
    <n v="2023"/>
    <s v="U"/>
    <d v="2025-03-23T00:00:00"/>
    <x v="12"/>
    <s v="Utility"/>
    <s v="Link"/>
    <s v="Link"/>
    <s v="Network Grid"/>
    <x v="2"/>
  </r>
  <r>
    <x v="29"/>
    <x v="0"/>
    <x v="8"/>
    <s v="NI"/>
    <s v="Exact Location"/>
    <m/>
    <n v="2023"/>
    <s v="U"/>
    <d v="2025-03-23T00:00:00"/>
    <x v="12"/>
    <s v="Utility"/>
    <s v="Link"/>
    <s v="Link"/>
    <s v="Network Grid"/>
    <x v="2"/>
  </r>
  <r>
    <x v="30"/>
    <x v="0"/>
    <x v="8"/>
    <s v="NI"/>
    <s v="Exact Location"/>
    <m/>
    <n v="2023"/>
    <s v="U"/>
    <d v="2025-03-23T00:00:00"/>
    <x v="12"/>
    <s v="Utility"/>
    <s v="Link"/>
    <s v="Link"/>
    <s v="Network Grid"/>
    <x v="2"/>
  </r>
  <r>
    <x v="31"/>
    <x v="0"/>
    <x v="8"/>
    <s v="NI"/>
    <s v="Exact Location"/>
    <m/>
    <n v="2023"/>
    <s v="U"/>
    <d v="2025-03-23T00:00:00"/>
    <x v="12"/>
    <s v="Utility"/>
    <s v="Link"/>
    <s v="Link"/>
    <s v="Network Grid"/>
    <x v="2"/>
  </r>
  <r>
    <x v="32"/>
    <x v="0"/>
    <x v="8"/>
    <s v="NI"/>
    <s v="Exact Location"/>
    <m/>
    <n v="2023"/>
    <s v="U"/>
    <d v="2025-03-23T00:00:00"/>
    <x v="12"/>
    <s v="Utility"/>
    <s v="Link"/>
    <s v="Link"/>
    <s v="Network Grid"/>
    <x v="2"/>
  </r>
  <r>
    <x v="33"/>
    <x v="0"/>
    <x v="8"/>
    <s v="NI"/>
    <s v="Exact Location"/>
    <m/>
    <n v="2023"/>
    <s v="U"/>
    <d v="2025-03-23T00:00:00"/>
    <x v="12"/>
    <s v="Utility"/>
    <s v="Link"/>
    <s v="Link"/>
    <s v="Network Grid"/>
    <x v="2"/>
  </r>
  <r>
    <x v="34"/>
    <x v="0"/>
    <x v="8"/>
    <s v="NI"/>
    <s v="Exact Location"/>
    <m/>
    <n v="2023"/>
    <s v="U"/>
    <d v="2025-03-23T00:00:00"/>
    <x v="12"/>
    <s v="Utility"/>
    <s v="Link"/>
    <s v="Link"/>
    <s v="Network Grid"/>
    <x v="2"/>
  </r>
  <r>
    <x v="35"/>
    <x v="0"/>
    <x v="8"/>
    <s v="NI"/>
    <s v="Exact Location"/>
    <m/>
    <n v="2023"/>
    <s v="U"/>
    <d v="2025-03-23T00:00:00"/>
    <x v="12"/>
    <s v="Utility"/>
    <s v="Link"/>
    <s v="Link"/>
    <s v="Network Grid"/>
    <x v="2"/>
  </r>
  <r>
    <x v="36"/>
    <x v="0"/>
    <x v="8"/>
    <s v="NI"/>
    <s v="Exact Location"/>
    <m/>
    <n v="2023"/>
    <s v="U"/>
    <d v="2025-03-23T00:00:00"/>
    <x v="12"/>
    <s v="Utility"/>
    <s v="Link"/>
    <s v="Link"/>
    <s v="Network Grid"/>
    <x v="2"/>
  </r>
  <r>
    <x v="37"/>
    <x v="0"/>
    <x v="8"/>
    <s v="NI"/>
    <s v="Exact Location"/>
    <m/>
    <n v="2023"/>
    <s v="U"/>
    <d v="2025-03-23T00:00:00"/>
    <x v="12"/>
    <s v="Utility"/>
    <s v="Link"/>
    <s v="Link"/>
    <s v="Network Grid"/>
    <x v="2"/>
  </r>
  <r>
    <x v="38"/>
    <x v="0"/>
    <x v="8"/>
    <s v="NI"/>
    <s v="Exact Location"/>
    <m/>
    <n v="2023"/>
    <s v="U"/>
    <d v="2025-03-23T00:00:00"/>
    <x v="12"/>
    <s v="Utility"/>
    <s v="Link"/>
    <s v="Link"/>
    <s v="Network Grid"/>
    <x v="2"/>
  </r>
  <r>
    <x v="39"/>
    <x v="0"/>
    <x v="8"/>
    <s v="NI"/>
    <s v="Exact Location"/>
    <m/>
    <n v="2023"/>
    <s v="U"/>
    <d v="2025-03-23T00:00:00"/>
    <x v="12"/>
    <s v="Utility"/>
    <s v="Link"/>
    <s v="Link"/>
    <s v="Network Grid"/>
    <x v="2"/>
  </r>
  <r>
    <x v="40"/>
    <x v="0"/>
    <x v="8"/>
    <s v="NI"/>
    <s v="Exact Location"/>
    <m/>
    <n v="2023"/>
    <s v="U"/>
    <d v="2025-03-23T00:00:00"/>
    <x v="12"/>
    <s v="Utility"/>
    <s v="Link"/>
    <s v="Link"/>
    <s v="Network Grid"/>
    <x v="2"/>
  </r>
  <r>
    <x v="41"/>
    <x v="0"/>
    <x v="8"/>
    <s v="NI"/>
    <s v="Exact Location"/>
    <m/>
    <n v="2023"/>
    <s v="U"/>
    <d v="2025-03-23T00:00:00"/>
    <x v="12"/>
    <s v="Utility"/>
    <s v="Link"/>
    <s v="Link"/>
    <s v="Network Grid"/>
    <x v="2"/>
  </r>
  <r>
    <x v="42"/>
    <x v="0"/>
    <x v="8"/>
    <s v="NI"/>
    <s v="Exact Location"/>
    <m/>
    <n v="2023"/>
    <s v="U"/>
    <d v="2025-03-23T00:00:00"/>
    <x v="12"/>
    <s v="Utility"/>
    <s v="Link"/>
    <s v="Link"/>
    <s v="Network Grid"/>
    <x v="2"/>
  </r>
  <r>
    <x v="43"/>
    <x v="0"/>
    <x v="1"/>
    <s v="NI"/>
    <s v="NA"/>
    <m/>
    <n v="2023"/>
    <s v="U"/>
    <d v="2025-03-22T00:00:00"/>
    <x v="12"/>
    <s v="Utility"/>
    <s v="Link"/>
    <s v="Link"/>
    <s v="Network Grid"/>
    <x v="2"/>
  </r>
  <r>
    <x v="44"/>
    <x v="0"/>
    <x v="8"/>
    <s v="NI"/>
    <s v="Exact Location"/>
    <m/>
    <s v="Current"/>
    <s v="D"/>
    <d v="2025-04-07T00:00:00"/>
    <x v="12"/>
    <s v="Utility"/>
    <s v="Link"/>
    <s v="Link"/>
    <s v="Network Grid"/>
    <x v="2"/>
  </r>
  <r>
    <x v="45"/>
    <x v="0"/>
    <x v="8"/>
    <s v="NI"/>
    <s v="Exact Location"/>
    <m/>
    <n v="2023"/>
    <s v="U"/>
    <d v="2025-03-24T00:00:00"/>
    <x v="12"/>
    <s v="Utility"/>
    <s v="Link"/>
    <s v="Link"/>
    <s v="Network Grid"/>
    <x v="2"/>
  </r>
  <r>
    <x v="46"/>
    <x v="1"/>
    <x v="0"/>
    <s v="NI"/>
    <s v="Exact Location"/>
    <m/>
    <s v="Current"/>
    <s v="M"/>
    <d v="2025-03-03T00:00:00"/>
    <x v="2"/>
    <s v="Government/Public Body"/>
    <s v="Available from OSNI"/>
    <s v="NIMA"/>
    <s v="Non-Energy Related Infrastructure"/>
    <x v="1"/>
  </r>
  <r>
    <x v="47"/>
    <x v="1"/>
    <x v="0"/>
    <s v="NI"/>
    <s v="Exact Location"/>
    <m/>
    <s v="Current"/>
    <s v="M"/>
    <d v="2025-03-03T00:00:00"/>
    <x v="2"/>
    <s v="Government/Public Body"/>
    <s v="Available from OSNI"/>
    <s v="NIMA"/>
    <s v="Non-Energy Related Infrastructure"/>
    <x v="1"/>
  </r>
  <r>
    <x v="48"/>
    <x v="1"/>
    <x v="4"/>
    <s v="NI"/>
    <s v="Exact Location"/>
    <m/>
    <s v="Current"/>
    <s v="AN"/>
    <m/>
    <x v="2"/>
    <s v="Government/Public Body"/>
    <s v="Available from OSNI"/>
    <s v="NIMA"/>
    <s v="Natural Environment"/>
    <x v="1"/>
  </r>
  <r>
    <x v="49"/>
    <x v="1"/>
    <x v="4"/>
    <s v="NI"/>
    <s v="Exact Location"/>
    <m/>
    <s v="Current"/>
    <s v="AN"/>
    <m/>
    <x v="2"/>
    <s v="Government/Public Body"/>
    <s v="Available from OSNI"/>
    <s v="NIMA"/>
    <s v="Natural Environment"/>
    <x v="1"/>
  </r>
  <r>
    <x v="50"/>
    <x v="1"/>
    <x v="4"/>
    <s v="NI"/>
    <s v="Exact Location"/>
    <m/>
    <s v="Current"/>
    <s v="AN"/>
    <m/>
    <x v="2"/>
    <s v="Government/Public Body"/>
    <s v="Available from OSNI"/>
    <s v="NIMA"/>
    <s v="Natural Environment"/>
    <x v="1"/>
  </r>
  <r>
    <x v="51"/>
    <x v="1"/>
    <x v="4"/>
    <s v="NI"/>
    <s v="Exact Location"/>
    <m/>
    <s v="Current"/>
    <s v="AN"/>
    <m/>
    <x v="2"/>
    <s v="Government/Public Body"/>
    <s v="Available from OSNI"/>
    <s v="NIMA"/>
    <s v="Natural Environment"/>
    <x v="1"/>
  </r>
  <r>
    <x v="52"/>
    <x v="1"/>
    <x v="4"/>
    <s v="NI"/>
    <s v="Exact Location"/>
    <m/>
    <s v="1835-1950"/>
    <s v="AN"/>
    <m/>
    <x v="2"/>
    <s v="Government/Public Body"/>
    <s v="Available from OSNI"/>
    <s v="NIMA"/>
    <s v="Non-Energy Related Infrastructure"/>
    <x v="1"/>
  </r>
  <r>
    <x v="53"/>
    <x v="1"/>
    <x v="2"/>
    <s v="NI"/>
    <s v="Exact Location"/>
    <m/>
    <s v="Current"/>
    <s v="AN"/>
    <d v="2025-03-14T00:00:00"/>
    <x v="2"/>
    <s v="Government/Public Body"/>
    <s v="Available from OSNI"/>
    <s v="NIMA"/>
    <s v="Non-Energy Related Infrastructure"/>
    <x v="1"/>
  </r>
  <r>
    <x v="54"/>
    <x v="0"/>
    <x v="6"/>
    <s v="NI"/>
    <s v="Exact Location"/>
    <m/>
    <s v="Current"/>
    <s v="AN"/>
    <d v="2024-05-16T00:00:00"/>
    <x v="8"/>
    <s v="Government/Public Body"/>
    <s v="Link"/>
    <s v="Link"/>
    <s v="Natural Environment"/>
    <x v="0"/>
  </r>
  <r>
    <x v="55"/>
    <x v="0"/>
    <x v="6"/>
    <s v="NI"/>
    <s v="Exact Location"/>
    <m/>
    <s v="Current"/>
    <s v="AN"/>
    <d v="2024-05-16T00:00:00"/>
    <x v="8"/>
    <s v="Government/Public Body"/>
    <s v="Link"/>
    <s v="Link"/>
    <s v="Natural Environment"/>
    <x v="0"/>
  </r>
  <r>
    <x v="56"/>
    <x v="0"/>
    <x v="6"/>
    <s v="NI"/>
    <s v="Exact Location"/>
    <m/>
    <s v="Current"/>
    <s v="AN"/>
    <d v="2024-05-16T00:00:00"/>
    <x v="8"/>
    <s v="Government/Public Body"/>
    <s v="Link"/>
    <s v="Link"/>
    <s v="Natural Environment"/>
    <x v="0"/>
  </r>
  <r>
    <x v="57"/>
    <x v="0"/>
    <x v="6"/>
    <s v="NI"/>
    <s v="Exact Location"/>
    <m/>
    <s v="1800-"/>
    <s v="AN"/>
    <d v="2024-08-23T00:00:00"/>
    <x v="8"/>
    <s v="Government/Public Body"/>
    <s v="Link"/>
    <s v="Link"/>
    <s v="Natural Environment"/>
    <x v="0"/>
  </r>
  <r>
    <x v="58"/>
    <x v="0"/>
    <x v="6"/>
    <s v="NI"/>
    <s v="Exact Location"/>
    <m/>
    <s v="Current"/>
    <s v="AN"/>
    <d v="2024-05-16T00:00:00"/>
    <x v="8"/>
    <s v="Government/Public Body"/>
    <s v="Link"/>
    <s v="Link"/>
    <s v="Natural Environment"/>
    <x v="0"/>
  </r>
  <r>
    <x v="59"/>
    <x v="0"/>
    <x v="6"/>
    <s v="NI"/>
    <s v="Exact Location"/>
    <m/>
    <s v="Current"/>
    <s v="AN"/>
    <d v="2024-03-05T00:00:00"/>
    <x v="8"/>
    <s v="Government/Public Body"/>
    <s v="Link"/>
    <s v="Link"/>
    <s v="Natural Environment"/>
    <x v="0"/>
  </r>
  <r>
    <x v="60"/>
    <x v="0"/>
    <x v="6"/>
    <s v="NI"/>
    <s v="Exact Location"/>
    <m/>
    <s v="Current"/>
    <s v="AN"/>
    <d v="2024-11-05T00:00:00"/>
    <x v="8"/>
    <s v="Government/Public Body"/>
    <s v="Link"/>
    <s v="Link"/>
    <s v="Natural Environment"/>
    <x v="0"/>
  </r>
  <r>
    <x v="61"/>
    <x v="0"/>
    <x v="9"/>
    <s v="UK"/>
    <s v="Northern Ireland"/>
    <m/>
    <s v="1960-2099"/>
    <s v="NP"/>
    <d v="2022-08-04T00:00:00"/>
    <x v="13"/>
    <s v="Government/Public Body"/>
    <s v="Link"/>
    <m/>
    <s v="Climate Change"/>
    <x v="0"/>
  </r>
  <r>
    <x v="62"/>
    <x v="0"/>
    <x v="7"/>
    <s v="UK"/>
    <s v="Exact Location"/>
    <m/>
    <s v="2020-2300"/>
    <s v="NP"/>
    <d v="2023-03-14T00:00:00"/>
    <x v="13"/>
    <s v="Government/Public Body"/>
    <s v="Link"/>
    <s v="Link"/>
    <s v="Climate Change"/>
    <x v="0"/>
  </r>
  <r>
    <x v="63"/>
    <x v="0"/>
    <x v="10"/>
    <s v="UK"/>
    <s v="Northern Ireland"/>
    <m/>
    <s v="1961-2010"/>
    <s v="NP"/>
    <d v="2017-08-17T00:00:00"/>
    <x v="13"/>
    <s v="Government/Public Body"/>
    <s v="Link"/>
    <m/>
    <s v="Climate Change"/>
    <x v="0"/>
  </r>
  <r>
    <x v="64"/>
    <x v="0"/>
    <x v="11"/>
    <s v="UK"/>
    <s v="Exact Location"/>
    <m/>
    <s v="2016-2025"/>
    <s v="D"/>
    <d v="2025-04-07T00:00:00"/>
    <x v="14"/>
    <s v="Government/Public Body"/>
    <s v="Link"/>
    <s v="Link"/>
    <s v="Natural Environment"/>
    <x v="0"/>
  </r>
  <r>
    <x v="65"/>
    <x v="0"/>
    <x v="7"/>
    <s v="NI"/>
    <s v="Exact Location"/>
    <m/>
    <s v="Current"/>
    <s v="AN"/>
    <d v="2024-09-21T00:00:00"/>
    <x v="2"/>
    <s v="Government/Public Body"/>
    <s v="Link"/>
    <s v="Link"/>
    <s v="Boundaries"/>
    <x v="1"/>
  </r>
  <r>
    <x v="66"/>
    <x v="0"/>
    <x v="8"/>
    <s v="NI"/>
    <s v="Exact Location"/>
    <m/>
    <s v="Current"/>
    <s v="AN"/>
    <d v="2016-10-04T00:00:00"/>
    <x v="10"/>
    <s v="Government/Public Body"/>
    <s v="Link"/>
    <s v="Link"/>
    <s v="Natural Environment"/>
    <x v="0"/>
  </r>
  <r>
    <x v="67"/>
    <x v="0"/>
    <x v="8"/>
    <s v="NI"/>
    <s v="Exact Location"/>
    <m/>
    <s v="Current"/>
    <s v="AN"/>
    <d v="2016-10-03T00:00:00"/>
    <x v="10"/>
    <s v="Government/Public Body"/>
    <s v="Link"/>
    <s v="Link"/>
    <s v="Natural Environment"/>
    <x v="0"/>
  </r>
  <r>
    <x v="68"/>
    <x v="0"/>
    <x v="8"/>
    <s v="NI"/>
    <s v="Exact Location"/>
    <m/>
    <s v="Current"/>
    <s v="AN"/>
    <d v="2016-10-03T00:00:00"/>
    <x v="10"/>
    <s v="Government/Public Body"/>
    <s v="Link"/>
    <s v="Link"/>
    <s v="Natural Environment"/>
    <x v="0"/>
  </r>
  <r>
    <x v="69"/>
    <x v="0"/>
    <x v="7"/>
    <s v="NI"/>
    <s v="Exact Location"/>
    <m/>
    <s v="Current"/>
    <s v="AN"/>
    <d v="2024-12-13T00:00:00"/>
    <x v="8"/>
    <s v="Government/Public Body"/>
    <s v="Link"/>
    <s v="Link"/>
    <s v="Natural Environment"/>
    <x v="0"/>
  </r>
  <r>
    <x v="70"/>
    <x v="0"/>
    <x v="7"/>
    <s v="NI"/>
    <s v="Exact Location"/>
    <m/>
    <s v="Current"/>
    <s v="AN"/>
    <m/>
    <x v="15"/>
    <s v="Government/Public Body"/>
    <s v="Included in download link"/>
    <s v="Link"/>
    <s v="Natural Environment"/>
    <x v="0"/>
  </r>
  <r>
    <x v="71"/>
    <x v="0"/>
    <x v="7"/>
    <s v="UK"/>
    <s v="Exact Location"/>
    <m/>
    <s v="Current"/>
    <s v="AN"/>
    <m/>
    <x v="16"/>
    <s v="Private Company"/>
    <s v="Included in download link"/>
    <s v="Link"/>
    <s v="Natural Environment"/>
    <x v="0"/>
  </r>
  <r>
    <x v="72"/>
    <x v="0"/>
    <x v="7"/>
    <s v="EU"/>
    <s v="Exact Location"/>
    <m/>
    <s v="2011-2016"/>
    <s v="NP"/>
    <d v="2020-06-16T00:00:00"/>
    <x v="17"/>
    <s v="Government/Public Body"/>
    <s v="Link"/>
    <s v="Link"/>
    <s v="Natural Environment"/>
    <x v="0"/>
  </r>
  <r>
    <x v="73"/>
    <x v="0"/>
    <x v="12"/>
    <s v="NI"/>
    <s v="PC2023"/>
    <m/>
    <s v="2024-"/>
    <s v="Q"/>
    <d v="2024-10-01T00:00:00"/>
    <x v="18"/>
    <s v="Private Company"/>
    <s v="Link"/>
    <s v="Link"/>
    <s v="Socioeconomic"/>
    <x v="0"/>
  </r>
  <r>
    <x v="74"/>
    <x v="0"/>
    <x v="6"/>
    <s v="UK"/>
    <s v="LGD2014"/>
    <m/>
    <s v="2005-2019"/>
    <s v="A"/>
    <d v="2021-08-05T00:00:00"/>
    <x v="19"/>
    <s v="Government/Public Body"/>
    <s v="Link"/>
    <s v="Link"/>
    <s v="Emissions"/>
    <x v="0"/>
  </r>
  <r>
    <x v="75"/>
    <x v="0"/>
    <x v="6"/>
    <s v="UK"/>
    <s v="Exact Location"/>
    <m/>
    <s v="2006-2018"/>
    <s v="A"/>
    <d v="2021-01-01T00:00:00"/>
    <x v="20"/>
    <s v="Government/Public Body"/>
    <s v="Link"/>
    <s v="Link"/>
    <s v="Emissions"/>
    <x v="0"/>
  </r>
  <r>
    <x v="76"/>
    <x v="0"/>
    <x v="1"/>
    <s v="NI"/>
    <s v="PC08"/>
    <m/>
    <n v="2022"/>
    <s v="A"/>
    <m/>
    <x v="7"/>
    <s v="Government/Public Body"/>
    <s v="Link"/>
    <s v="Link"/>
    <s v="Socioeconomic"/>
    <x v="1"/>
  </r>
  <r>
    <x v="77"/>
    <x v="0"/>
    <x v="1"/>
    <s v="NI"/>
    <s v="PC2023"/>
    <m/>
    <n v="2022"/>
    <s v="A"/>
    <d v="2024-07-31T00:00:00"/>
    <x v="7"/>
    <s v="Government/Public Body"/>
    <s v="Link"/>
    <s v="Link"/>
    <s v="Socioeconomic"/>
    <x v="1"/>
  </r>
  <r>
    <x v="78"/>
    <x v="0"/>
    <x v="1"/>
    <s v="NI"/>
    <s v="PC08"/>
    <m/>
    <s v="2014-2023"/>
    <s v="A"/>
    <d v="2024-12-20T00:00:00"/>
    <x v="7"/>
    <s v="Government/Public Body"/>
    <s v="Link"/>
    <s v="Link"/>
    <s v="Socioeconomic"/>
    <x v="1"/>
  </r>
  <r>
    <x v="79"/>
    <x v="0"/>
    <x v="6"/>
    <m/>
    <s v="Exact Location"/>
    <m/>
    <s v="Current"/>
    <s v="NP"/>
    <d v="2024-08-29T00:00:00"/>
    <x v="21"/>
    <s v="Private Company"/>
    <s v="Link"/>
    <s v="Link"/>
    <s v="Natural Environment"/>
    <x v="0"/>
  </r>
  <r>
    <x v="80"/>
    <x v="0"/>
    <x v="1"/>
    <s v="NI"/>
    <s v="PC08"/>
    <m/>
    <s v="2018-2023"/>
    <s v="A"/>
    <d v="2024-05-14T00:00:00"/>
    <x v="22"/>
    <s v="Government/Public Body"/>
    <s v="Link"/>
    <s v="Link"/>
    <s v="Socioeconomic"/>
    <x v="0"/>
  </r>
  <r>
    <x v="81"/>
    <x v="0"/>
    <x v="1"/>
    <s v="NI"/>
    <s v="PC2023"/>
    <m/>
    <s v="2018-2024"/>
    <s v="A"/>
    <d v="2025-01-31T00:00:00"/>
    <x v="22"/>
    <s v="Government/Public Body"/>
    <s v="Link"/>
    <s v="Link"/>
    <s v="Socioeconomic"/>
    <x v="0"/>
  </r>
  <r>
    <x v="82"/>
    <x v="0"/>
    <x v="1"/>
    <s v="NI"/>
    <s v="Northern Ireland"/>
    <m/>
    <s v="2022-2023"/>
    <s v="A"/>
    <d v="2025-02-13T00:00:00"/>
    <x v="22"/>
    <s v="Government/Public Body"/>
    <s v="Link"/>
    <s v="Link"/>
    <s v="Socioeconomic"/>
    <x v="0"/>
  </r>
  <r>
    <x v="83"/>
    <x v="1"/>
    <x v="6"/>
    <s v="NI"/>
    <s v="Exact Location"/>
    <m/>
    <s v="Current"/>
    <s v="NP"/>
    <m/>
    <x v="22"/>
    <s v="Government/Public Body"/>
    <m/>
    <s v="Upon Request"/>
    <s v="Socioeconomic"/>
    <x v="0"/>
  </r>
  <r>
    <x v="84"/>
    <x v="1"/>
    <x v="2"/>
    <s v="Council Area"/>
    <s v="Exact Location"/>
    <m/>
    <s v="Current"/>
    <s v="NP"/>
    <m/>
    <x v="22"/>
    <s v="Government/Public Body"/>
    <m/>
    <s v="Upon Request"/>
    <s v="Generation"/>
    <x v="0"/>
  </r>
  <r>
    <x v="85"/>
    <x v="1"/>
    <x v="7"/>
    <s v="NI"/>
    <s v="Exact Location"/>
    <m/>
    <s v="Current"/>
    <s v="NP"/>
    <m/>
    <x v="22"/>
    <s v="Government/Public Body"/>
    <m/>
    <s v="Upon Request"/>
    <s v="Generation"/>
    <x v="0"/>
  </r>
  <r>
    <x v="86"/>
    <x v="0"/>
    <x v="4"/>
    <s v="Global"/>
    <s v="Exact Location"/>
    <m/>
    <s v="Current"/>
    <s v="AN"/>
    <d v="2015-03-25T00:00:00"/>
    <x v="23"/>
    <s v="Private Company"/>
    <s v="Link"/>
    <s v="Link"/>
    <s v="Natural Environment"/>
    <x v="0"/>
  </r>
  <r>
    <x v="87"/>
    <x v="0"/>
    <x v="4"/>
    <s v="NI"/>
    <s v="Exact Location"/>
    <m/>
    <s v="Current"/>
    <s v="NP"/>
    <d v="2012-02-02T00:00:00"/>
    <x v="24"/>
    <s v="Private Company"/>
    <s v="Link"/>
    <s v="Link"/>
    <s v="Natural Environment"/>
    <x v="0"/>
  </r>
  <r>
    <x v="88"/>
    <x v="0"/>
    <x v="8"/>
    <s v="EU"/>
    <s v="Exact Location"/>
    <m/>
    <n v="2021"/>
    <s v="NP"/>
    <d v="2021-05-17T00:00:00"/>
    <x v="25"/>
    <s v="Government/Public Body"/>
    <s v="Included in download link"/>
    <s v="Link"/>
    <s v="Network Grid"/>
    <x v="0"/>
  </r>
  <r>
    <x v="89"/>
    <x v="0"/>
    <x v="5"/>
    <s v="EU"/>
    <s v="Exact Location"/>
    <m/>
    <n v="2024"/>
    <s v="Q"/>
    <d v="2024-11-20T00:00:00"/>
    <x v="26"/>
    <s v="Utility"/>
    <s v="Link"/>
    <s v="Link"/>
    <s v="Network Grid"/>
    <x v="0"/>
  </r>
  <r>
    <x v="90"/>
    <x v="0"/>
    <x v="12"/>
    <s v="EU"/>
    <s v="Exact Location"/>
    <m/>
    <n v="2024"/>
    <s v="Q"/>
    <d v="2024-11-01T00:00:00"/>
    <x v="27"/>
    <s v="Utility"/>
    <s v="Link"/>
    <s v="Link"/>
    <s v="Network Grid"/>
    <x v="0"/>
  </r>
  <r>
    <x v="91"/>
    <x v="0"/>
    <x v="5"/>
    <s v="EU"/>
    <s v="Exact Location"/>
    <m/>
    <s v="2024-2025"/>
    <s v="A"/>
    <d v="2025-01-13T00:00:00"/>
    <x v="27"/>
    <s v="Utility"/>
    <s v="Link"/>
    <s v="Link"/>
    <s v="Network Grid"/>
    <x v="0"/>
  </r>
  <r>
    <x v="92"/>
    <x v="0"/>
    <x v="1"/>
    <s v="EU"/>
    <s v="Exact Location"/>
    <m/>
    <s v="2024-2025"/>
    <s v="A"/>
    <d v="2025-01-13T00:00:00"/>
    <x v="27"/>
    <s v="Utility"/>
    <s v="Link"/>
    <s v="Link"/>
    <s v="Network Grid"/>
    <x v="0"/>
  </r>
  <r>
    <x v="93"/>
    <x v="0"/>
    <x v="12"/>
    <s v="EU"/>
    <s v="Exact Location"/>
    <m/>
    <s v="2021-2025"/>
    <s v="Q"/>
    <d v="2025-03-29T00:00:00"/>
    <x v="27"/>
    <s v="Utility"/>
    <s v="Link"/>
    <s v="Link"/>
    <s v="Gas"/>
    <x v="0"/>
  </r>
  <r>
    <x v="94"/>
    <x v="0"/>
    <x v="12"/>
    <s v="EU"/>
    <s v="UK"/>
    <m/>
    <s v="2021-2025"/>
    <s v="Q"/>
    <d v="2025-03-29T00:00:00"/>
    <x v="27"/>
    <s v="Utility"/>
    <s v="Link"/>
    <s v="Link"/>
    <s v="Gas"/>
    <x v="0"/>
  </r>
  <r>
    <x v="95"/>
    <x v="0"/>
    <x v="7"/>
    <s v="EU"/>
    <s v="Exact Location"/>
    <m/>
    <s v="Current"/>
    <s v="NP"/>
    <d v="2016-08-22T00:00:00"/>
    <x v="28"/>
    <s v="Government/Public Body"/>
    <s v="Link"/>
    <s v="Link"/>
    <s v="Boundaries"/>
    <x v="0"/>
  </r>
  <r>
    <x v="96"/>
    <x v="0"/>
    <x v="1"/>
    <s v="UK"/>
    <s v="LGD2014"/>
    <m/>
    <s v="2005-2022"/>
    <s v="A"/>
    <d v="2024-09-26T00:00:00"/>
    <x v="0"/>
    <s v="Government/Public Body"/>
    <s v="Link"/>
    <s v="Link"/>
    <s v="Consumption"/>
    <x v="0"/>
  </r>
  <r>
    <x v="97"/>
    <x v="0"/>
    <x v="1"/>
    <s v="UK"/>
    <s v="LGD2014"/>
    <m/>
    <s v="2005-2022"/>
    <s v="A"/>
    <d v="2024-06-27T00:00:00"/>
    <x v="0"/>
    <s v="Government/Public Body"/>
    <s v="Link"/>
    <s v="Link"/>
    <s v="Consumption, Network Grid"/>
    <x v="0"/>
  </r>
  <r>
    <x v="98"/>
    <x v="0"/>
    <x v="1"/>
    <s v="UK"/>
    <s v="Northern Ireland"/>
    <m/>
    <s v="1990-2022"/>
    <s v="A"/>
    <d v="2024-06-18T00:00:00"/>
    <x v="29"/>
    <s v="Government/Public Body"/>
    <s v="Link"/>
    <s v="Link"/>
    <s v="Emissions"/>
    <x v="0"/>
  </r>
  <r>
    <x v="99"/>
    <x v="0"/>
    <x v="1"/>
    <s v="UK"/>
    <s v="LGD2014"/>
    <m/>
    <s v="2005-2022"/>
    <s v="A"/>
    <d v="2024-05-27T00:00:00"/>
    <x v="0"/>
    <s v="Government/Public Body"/>
    <s v="Link"/>
    <s v="Link"/>
    <s v="Emissions"/>
    <x v="0"/>
  </r>
  <r>
    <x v="100"/>
    <x v="0"/>
    <x v="8"/>
    <s v="NI"/>
    <s v="Exact Location"/>
    <m/>
    <s v="Current"/>
    <s v="NP"/>
    <d v="2023-01-01T00:00:00"/>
    <x v="30"/>
    <s v="Government/Public Body"/>
    <s v="Link"/>
    <s v="Link"/>
    <s v="Natural Environment"/>
    <x v="0"/>
  </r>
  <r>
    <x v="101"/>
    <x v="0"/>
    <x v="8"/>
    <s v="NI"/>
    <s v="Exact Location"/>
    <m/>
    <s v="Current"/>
    <s v="NP"/>
    <d v="2023-01-01T00:00:00"/>
    <x v="30"/>
    <s v="Government/Public Body"/>
    <s v="Link"/>
    <s v="Link"/>
    <s v="Natural Environment"/>
    <x v="0"/>
  </r>
  <r>
    <x v="102"/>
    <x v="0"/>
    <x v="8"/>
    <s v="NI"/>
    <s v="Exact Location"/>
    <m/>
    <s v="Current"/>
    <s v="NP"/>
    <d v="2023-01-01T00:00:00"/>
    <x v="30"/>
    <s v="Government/Public Body"/>
    <s v="Link"/>
    <s v="Link"/>
    <s v="Natural Environment"/>
    <x v="0"/>
  </r>
  <r>
    <x v="103"/>
    <x v="0"/>
    <x v="1"/>
    <s v="All-Island"/>
    <s v="Northern Ireland"/>
    <m/>
    <s v="Current"/>
    <s v="D"/>
    <d v="2025-04-07T00:00:00"/>
    <x v="31"/>
    <s v="Utility"/>
    <s v="Link"/>
    <s v="Link"/>
    <s v="Network Grid"/>
    <x v="0"/>
  </r>
  <r>
    <x v="104"/>
    <x v="0"/>
    <x v="1"/>
    <s v="All-Island"/>
    <s v="Northern Ireland"/>
    <m/>
    <s v="2014-2024"/>
    <s v="A"/>
    <d v="2024-01-01T00:00:00"/>
    <x v="31"/>
    <s v="Utility"/>
    <s v="Link"/>
    <s v="Link"/>
    <s v="Network Grid"/>
    <x v="0"/>
  </r>
  <r>
    <x v="105"/>
    <x v="0"/>
    <x v="6"/>
    <s v="EU"/>
    <s v="Exact Location"/>
    <m/>
    <n v="2024"/>
    <s v="NP"/>
    <d v="2024-07-04T00:00:00"/>
    <x v="32"/>
    <s v="Government/Public Body"/>
    <s v="Link"/>
    <s v="Link"/>
    <s v="Emissions"/>
    <x v="0"/>
  </r>
  <r>
    <x v="106"/>
    <x v="0"/>
    <x v="6"/>
    <s v="EU"/>
    <s v="Exact Location"/>
    <m/>
    <n v="2020"/>
    <s v="NP"/>
    <d v="2020-02-24T00:00:00"/>
    <x v="32"/>
    <s v="Government/Public Body"/>
    <s v="Link"/>
    <s v="Link"/>
    <s v="Consumption"/>
    <x v="0"/>
  </r>
  <r>
    <x v="107"/>
    <x v="0"/>
    <x v="7"/>
    <s v="UK"/>
    <s v="Exact Location"/>
    <m/>
    <n v="2008"/>
    <s v="NP"/>
    <m/>
    <x v="33"/>
    <m/>
    <s v="Link"/>
    <s v="Link"/>
    <s v="Tidal"/>
    <x v="0"/>
  </r>
  <r>
    <x v="108"/>
    <x v="0"/>
    <x v="7"/>
    <s v="UK"/>
    <s v="Exact Location"/>
    <m/>
    <n v="2008"/>
    <s v="NP"/>
    <m/>
    <x v="33"/>
    <m/>
    <s v="Link"/>
    <s v="Link"/>
    <s v="Tidal"/>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9A3AF7-15AB-4774-9C04-82B77DF5BDA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7:C117" firstHeaderRow="1" firstDataRow="1" firstDataCol="1" rowPageCount="4" colPageCount="1"/>
  <pivotFields count="15">
    <pivotField axis="axisRow" showAll="0">
      <items count="115">
        <item x="8"/>
        <item x="9"/>
        <item x="4"/>
        <item x="10"/>
        <item x="7"/>
        <item x="6"/>
        <item x="3"/>
        <item x="5"/>
        <item x="1"/>
        <item x="0"/>
        <item m="1" x="111"/>
        <item x="11"/>
        <item x="12"/>
        <item x="13"/>
        <item x="14"/>
        <item x="15"/>
        <item m="1" x="110"/>
        <item x="16"/>
        <item x="17"/>
        <item x="18"/>
        <item x="19"/>
        <item x="20"/>
        <item x="21"/>
        <item x="22"/>
        <item m="1" x="112"/>
        <item m="1" x="113"/>
        <item x="25"/>
        <item x="26"/>
        <item x="27"/>
        <item x="28"/>
        <item x="29"/>
        <item x="30"/>
        <item x="31"/>
        <item x="32"/>
        <item x="33"/>
        <item x="34"/>
        <item x="35"/>
        <item x="36"/>
        <item x="37"/>
        <item x="38"/>
        <item x="39"/>
        <item x="40"/>
        <item x="41"/>
        <item x="42"/>
        <item x="43"/>
        <item x="44"/>
        <item x="45"/>
        <item x="46"/>
        <item x="47"/>
        <item x="48"/>
        <item x="49"/>
        <item x="50"/>
        <item x="51"/>
        <item x="2"/>
        <item x="23"/>
        <item x="24"/>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m="1" x="109"/>
        <item x="88"/>
        <item x="89"/>
        <item x="90"/>
        <item x="91"/>
        <item x="92"/>
        <item x="93"/>
        <item x="94"/>
        <item x="95"/>
        <item x="96"/>
        <item x="97"/>
        <item x="98"/>
        <item x="99"/>
        <item x="100"/>
        <item x="101"/>
        <item x="102"/>
        <item x="103"/>
        <item x="104"/>
        <item x="87"/>
        <item x="105"/>
        <item x="106"/>
        <item x="107"/>
        <item x="108"/>
        <item t="default"/>
      </items>
    </pivotField>
    <pivotField axis="axisPage" showAll="0">
      <items count="4">
        <item x="1"/>
        <item x="0"/>
        <item x="2"/>
        <item t="default"/>
      </items>
    </pivotField>
    <pivotField axis="axisPage" showAll="0">
      <items count="14">
        <item x="0"/>
        <item x="2"/>
        <item x="7"/>
        <item x="8"/>
        <item x="11"/>
        <item x="5"/>
        <item x="6"/>
        <item x="4"/>
        <item x="10"/>
        <item x="12"/>
        <item x="1"/>
        <item x="3"/>
        <item x="9"/>
        <item t="default"/>
      </items>
    </pivotField>
    <pivotField showAll="0"/>
    <pivotField showAll="0"/>
    <pivotField showAll="0"/>
    <pivotField showAll="0"/>
    <pivotField showAll="0"/>
    <pivotField showAll="0"/>
    <pivotField axis="axisPage" showAll="0">
      <items count="36">
        <item x="6"/>
        <item x="8"/>
        <item x="0"/>
        <item x="1"/>
        <item x="5"/>
        <item x="7"/>
        <item x="2"/>
        <item x="3"/>
        <item x="4"/>
        <item x="9"/>
        <item x="10"/>
        <item x="11"/>
        <item x="12"/>
        <item m="1" x="34"/>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axis="axisPage" showAll="0">
      <items count="4">
        <item x="0"/>
        <item x="1"/>
        <item x="2"/>
        <item t="default"/>
      </items>
    </pivotField>
  </pivotFields>
  <rowFields count="1">
    <field x="0"/>
  </rowFields>
  <rowItems count="110">
    <i>
      <x/>
    </i>
    <i>
      <x v="1"/>
    </i>
    <i>
      <x v="2"/>
    </i>
    <i>
      <x v="3"/>
    </i>
    <i>
      <x v="4"/>
    </i>
    <i>
      <x v="5"/>
    </i>
    <i>
      <x v="6"/>
    </i>
    <i>
      <x v="7"/>
    </i>
    <i>
      <x v="8"/>
    </i>
    <i>
      <x v="9"/>
    </i>
    <i>
      <x v="11"/>
    </i>
    <i>
      <x v="12"/>
    </i>
    <i>
      <x v="13"/>
    </i>
    <i>
      <x v="14"/>
    </i>
    <i>
      <x v="15"/>
    </i>
    <i>
      <x v="17"/>
    </i>
    <i>
      <x v="18"/>
    </i>
    <i>
      <x v="19"/>
    </i>
    <i>
      <x v="20"/>
    </i>
    <i>
      <x v="21"/>
    </i>
    <i>
      <x v="22"/>
    </i>
    <i>
      <x v="23"/>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2"/>
    </i>
    <i>
      <x v="93"/>
    </i>
    <i>
      <x v="94"/>
    </i>
    <i>
      <x v="95"/>
    </i>
    <i>
      <x v="96"/>
    </i>
    <i>
      <x v="97"/>
    </i>
    <i>
      <x v="98"/>
    </i>
    <i>
      <x v="99"/>
    </i>
    <i>
      <x v="100"/>
    </i>
    <i>
      <x v="101"/>
    </i>
    <i>
      <x v="102"/>
    </i>
    <i>
      <x v="103"/>
    </i>
    <i>
      <x v="104"/>
    </i>
    <i>
      <x v="105"/>
    </i>
    <i>
      <x v="106"/>
    </i>
    <i>
      <x v="107"/>
    </i>
    <i>
      <x v="108"/>
    </i>
    <i>
      <x v="109"/>
    </i>
    <i>
      <x v="110"/>
    </i>
    <i>
      <x v="111"/>
    </i>
    <i>
      <x v="112"/>
    </i>
    <i>
      <x v="113"/>
    </i>
    <i t="grand">
      <x/>
    </i>
  </rowItems>
  <colItems count="1">
    <i/>
  </colItems>
  <pageFields count="4">
    <pageField fld="1" hier="-1"/>
    <pageField fld="2" hier="-1"/>
    <pageField fld="9" hier="-1"/>
    <pageField fld="14" hier="-1"/>
  </pageFields>
  <formats count="8">
    <format dxfId="81">
      <pivotArea type="all" dataOnly="0" outline="0" fieldPosition="0"/>
    </format>
    <format dxfId="80">
      <pivotArea field="0" type="button" dataOnly="0" labelOnly="1" outline="0" axis="axisRow" fieldPosition="0"/>
    </format>
    <format dxfId="79">
      <pivotArea dataOnly="0" labelOnly="1" fieldPosition="0">
        <references count="1">
          <reference field="0" count="3">
            <x v="12"/>
            <x v="13"/>
            <x v="14"/>
          </reference>
        </references>
      </pivotArea>
    </format>
    <format dxfId="78">
      <pivotArea dataOnly="0" labelOnly="1" grandRow="1" outline="0" fieldPosition="0"/>
    </format>
    <format dxfId="77">
      <pivotArea type="all" dataOnly="0" outline="0" fieldPosition="0"/>
    </format>
    <format dxfId="76">
      <pivotArea field="0" type="button" dataOnly="0" labelOnly="1" outline="0" axis="axisRow" fieldPosition="0"/>
    </format>
    <format dxfId="75">
      <pivotArea dataOnly="0" labelOnly="1" fieldPosition="0">
        <references count="1">
          <reference field="0" count="3">
            <x v="12"/>
            <x v="13"/>
            <x v="14"/>
          </reference>
        </references>
      </pivotArea>
    </format>
    <format dxfId="74">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87F1EF3-6801-4758-A187-1F0A58C8B53F}" name="dataRequestTable" displayName="dataRequestTable" ref="B42:G48" totalsRowShown="0" headerRowDxfId="73" dataDxfId="71" headerRowBorderDxfId="72" tableBorderDxfId="70" totalsRowBorderDxfId="69">
  <autoFilter ref="B42:G48" xr:uid="{D87F1EF3-6801-4758-A187-1F0A58C8B53F}">
    <filterColumn colId="0" hiddenButton="1"/>
    <filterColumn colId="1" hiddenButton="1"/>
    <filterColumn colId="2" hiddenButton="1"/>
    <filterColumn colId="3" hiddenButton="1"/>
    <filterColumn colId="4" hiddenButton="1"/>
    <filterColumn colId="5" hiddenButton="1"/>
  </autoFilter>
  <tableColumns count="6">
    <tableColumn id="1" xr3:uid="{9C85DAA0-2EE1-4583-94FE-43EE9599A048}" name="ID" dataDxfId="68"/>
    <tableColumn id="2" xr3:uid="{FE01FB44-1DA4-4735-A36A-210456CA34AD}" name="Data File Name" dataDxfId="67"/>
    <tableColumn id="3" xr3:uid="{DB8A00EE-E7F6-426F-BD61-EA04B0577CC6}" name="Source (if known please provide link)" dataDxfId="66"/>
    <tableColumn id="4" xr3:uid="{55C39D6A-6EF0-4712-89F9-9FA119EEA130}" name="Is data already held?" dataDxfId="65"/>
    <tableColumn id="5" xr3:uid="{8DBBC22E-1DB1-4A75-B5AB-80A473316B36}" name="Purpose of Use" dataDxfId="64"/>
    <tableColumn id="6" xr3:uid="{B8E2C7AE-770D-4A4C-B668-F817B6D4EEFB}" name="Additional Notes" dataDxfId="63"/>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5BA6DE7-A84D-47BB-94E5-82437CD3F56F}" name="Table1" displayName="Table1" ref="A1:P165" totalsRowShown="0" headerRowDxfId="62" dataDxfId="61">
  <autoFilter ref="A1:P165" xr:uid="{DA13C0A0-B5A0-4AC0-B78C-316AA8E1999A}"/>
  <tableColumns count="16">
    <tableColumn id="16" xr3:uid="{5B61BC35-031D-4607-9F82-C38B6969AAC4}" name="ID" dataDxfId="60"/>
    <tableColumn id="1" xr3:uid="{1FA4E80C-2A5F-4971-BEE5-08507878452C}" name="Dataset Name" dataDxfId="59"/>
    <tableColumn id="2" xr3:uid="{F0EC405A-8706-4C75-B26C-DC2AC89F307B}" name="Sharing Status" dataDxfId="58"/>
    <tableColumn id="3" xr3:uid="{9188B758-DC67-4751-8940-A0BF0D935A7B}" name="Format" dataDxfId="57"/>
    <tableColumn id="4" xr3:uid="{2C39E258-8B18-4F6D-960E-2962D56999CC}" name="Spatial Coverage" dataDxfId="56"/>
    <tableColumn id="5" xr3:uid="{66CE7DB8-1D40-4C06-B6F0-1481A7E7B56D}" name="Spatial Scale " dataDxfId="55"/>
    <tableColumn id="15" xr3:uid="{6DA216B3-F485-4D57-8626-5552D71D59C9}" name="First Available Version" dataDxfId="54"/>
    <tableColumn id="6" xr3:uid="{62C3040A-E4EB-485A-9447-69147A60BA1F}" name="Most Recent Version " dataDxfId="53"/>
    <tableColumn id="7" xr3:uid="{601C5BE3-78E5-4A2C-BE11-8CF92D7945DB}" name="Update Frequency" dataDxfId="52"/>
    <tableColumn id="8" xr3:uid="{F35ECEBE-59A4-4EFC-8067-A35E14C7C2DA}" name="Last Updated/Published" dataDxfId="51"/>
    <tableColumn id="9" xr3:uid="{63703EF8-4E31-4ED5-9AFF-60EE3BCB6B78}" name="Data Owner" dataDxfId="50"/>
    <tableColumn id="10" xr3:uid="{03B593FD-19DF-4EEF-811A-F336CE3A8967}" name="Data Owner Category" dataDxfId="49"/>
    <tableColumn id="11" xr3:uid="{51F3584A-B45D-40E9-A612-5B88F67F6D24}" name="Metadata" dataDxfId="48"/>
    <tableColumn id="12" xr3:uid="{6902C649-12FA-48B6-87B0-DD6002AB83D2}" name="Link to Source" dataDxfId="47" dataCellStyle="Hyperlink"/>
    <tableColumn id="13" xr3:uid="{A6A19116-EAC6-47B5-A4C5-015CC5B4FCB4}" name="Tags " dataDxfId="46"/>
    <tableColumn id="14" xr3:uid="{90A301BD-80D5-4E26-893F-C6CD62CAE405}" name="Rating" dataDxfId="4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6368FF-2083-4EE0-8F11-1580D56A7BE6}" name="spatialScale" displayName="spatialScale" ref="A14:B31" totalsRowShown="0" headerRowDxfId="44" headerRowBorderDxfId="43" tableBorderDxfId="42">
  <autoFilter ref="A14:B31" xr:uid="{7F6368FF-2083-4EE0-8F11-1580D56A7BE6}"/>
  <sortState xmlns:xlrd2="http://schemas.microsoft.com/office/spreadsheetml/2017/richdata2" ref="A15:B31">
    <sortCondition ref="A14:A31"/>
  </sortState>
  <tableColumns count="2">
    <tableColumn id="1" xr3:uid="{702C31B5-B610-46E4-8D09-D19B27520012}" name="Spatial Scale Code" dataDxfId="41"/>
    <tableColumn id="2" xr3:uid="{D837AC9D-8F4A-45A3-AC40-FE6FC9A80A26}" name="Name" dataDxfId="4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FE31D5A-B9D9-4A56-AC51-0BFEBA439DF5}" name="Table3" displayName="Table3" ref="A1:B10" totalsRowShown="0" headerRowDxfId="39" headerRowBorderDxfId="38" tableBorderDxfId="37" totalsRowBorderDxfId="36">
  <autoFilter ref="A1:B10" xr:uid="{FFE31D5A-B9D9-4A56-AC51-0BFEBA439DF5}"/>
  <tableColumns count="2">
    <tableColumn id="1" xr3:uid="{3102A651-4EBE-45D2-AC09-61A93A093910}" name="Update Frequency Code" dataDxfId="35"/>
    <tableColumn id="2" xr3:uid="{236319F5-8EF0-46AA-B30B-86007FF6022C}" name="Meaning" dataDxfId="3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126385C-37BF-4456-9E68-98A2AF369943}" name="Table5" displayName="Table5" ref="D1:D12" totalsRowShown="0" headerRowDxfId="33" headerRowBorderDxfId="32" tableBorderDxfId="31" totalsRowBorderDxfId="30">
  <autoFilter ref="D1:D12" xr:uid="{A126385C-37BF-4456-9E68-98A2AF369943}"/>
  <tableColumns count="1">
    <tableColumn id="1" xr3:uid="{DFB0A462-D56A-4707-A320-570696B08F39}" name="Format" dataDxfId="29"/>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AC0DD85-19B0-4E26-AECB-C70376DB9D09}" name="Table6" displayName="Table6" ref="F1:F4" totalsRowShown="0" headerRowDxfId="28" headerRowBorderDxfId="27" tableBorderDxfId="26" totalsRowBorderDxfId="25">
  <autoFilter ref="F1:F4" xr:uid="{AAC0DD85-19B0-4E26-AECB-C70376DB9D09}"/>
  <tableColumns count="1">
    <tableColumn id="1" xr3:uid="{D233AAF4-7F4A-4618-9F75-A347648AB491}" name="Sharing Status" dataDxfId="2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5F83D7B-219E-49C1-A64B-29FBE6DF4CC5}" name="Table8" displayName="Table8" ref="F14:F22" totalsRowShown="0" headerRowDxfId="23" headerRowBorderDxfId="22" tableBorderDxfId="21" totalsRowBorderDxfId="20">
  <autoFilter ref="F14:F22" xr:uid="{E5F83D7B-219E-49C1-A64B-29FBE6DF4CC5}"/>
  <sortState xmlns:xlrd2="http://schemas.microsoft.com/office/spreadsheetml/2017/richdata2" ref="F15:F22">
    <sortCondition ref="F14:F22"/>
  </sortState>
  <tableColumns count="1">
    <tableColumn id="1" xr3:uid="{22DFED97-98A4-419E-8703-7E7ED9A346EF}" name="Spatial Coverage" dataDxfId="19"/>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ED23C3B-5390-497D-AB03-6E9C913D058C}" name="Table9" displayName="Table9" ref="H1:H6" totalsRowShown="0" headerRowDxfId="18" headerRowBorderDxfId="17" tableBorderDxfId="16" totalsRowBorderDxfId="15">
  <autoFilter ref="H1:H6" xr:uid="{9ED23C3B-5390-497D-AB03-6E9C913D058C}"/>
  <tableColumns count="1">
    <tableColumn id="1" xr3:uid="{C683ABBB-B638-46A2-ACBD-28D0A30AF5A0}" name="Data Owner Category" dataDxfId="14"/>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37528F8-0954-45DC-9D34-7D6457D4B21D}" name="Table10" displayName="Table10" ref="H14:I19" totalsRowShown="0" headerRowDxfId="13" headerRowBorderDxfId="12" tableBorderDxfId="11" totalsRowBorderDxfId="10">
  <autoFilter ref="H14:I19" xr:uid="{337528F8-0954-45DC-9D34-7D6457D4B21D}"/>
  <tableColumns count="2">
    <tableColumn id="1" xr3:uid="{2379318D-7562-4724-8852-F3731D92D28A}" name="Rating" dataDxfId="9"/>
    <tableColumn id="2" xr3:uid="{41EA286A-A6D0-4DFC-8DBE-3D160E898BD4}" name="Comments" dataDxfId="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2A0C8A4-D489-41C9-9512-BAF9C43334A8}" name="TagList1" displayName="TagList1" ref="D14:D41" totalsRowShown="0" headerRowDxfId="7" headerRowBorderDxfId="6" tableBorderDxfId="5">
  <autoFilter ref="D14:D41" xr:uid="{F2A0C8A4-D489-41C9-9512-BAF9C43334A8}"/>
  <sortState xmlns:xlrd2="http://schemas.microsoft.com/office/spreadsheetml/2017/richdata2" ref="D15:D41">
    <sortCondition ref="D14:D41"/>
  </sortState>
  <tableColumns count="1">
    <tableColumn id="1" xr3:uid="{BE061BDA-33F0-4F60-8D2A-7493557BE7BC}" name="Tags" dataDxfId="4"/>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605D9B8-D4A9-4CDD-AEDB-FB070A715275}" name="Table7" displayName="Table7" ref="A34:A51" totalsRowShown="0" headerRowDxfId="3" headerRowBorderDxfId="2" tableBorderDxfId="1">
  <autoFilter ref="A34:A51" xr:uid="{D605D9B8-D4A9-4CDD-AEDB-FB070A715275}"/>
  <sortState xmlns:xlrd2="http://schemas.microsoft.com/office/spreadsheetml/2017/richdata2" ref="A35:A51">
    <sortCondition ref="A14:A31"/>
  </sortState>
  <tableColumns count="1">
    <tableColumn id="1" xr3:uid="{793E090C-99F0-4298-8BAB-ABA0C8C72D3D}" name="Spatial Scale Code" dataDxfId="0"/>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88B8AC6-4405-400C-9714-2F3808431C87}" name="Table12" displayName="Table12" ref="A56:A59" totalsRowShown="0">
  <autoFilter ref="A56:A59" xr:uid="{488B8AC6-4405-400C-9714-2F3808431C87}"/>
  <tableColumns count="1">
    <tableColumn id="1" xr3:uid="{4464059B-4A86-45E8-AF5E-61C69BFBB64D}" name="Is data already hel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5.png"/></Relationships>
</file>

<file path=xl/webextensions/webextension1.xml><?xml version="1.0" encoding="utf-8"?>
<we:webextension xmlns:we="http://schemas.microsoft.com/office/webextensions/webextension/2010/11" id="{47F7CE72-1959-A330-96A2-8C77D0B9A8A5}">
  <we:reference id="wa102957665" version="1.3.0.0" store="en-US" storeType="OMEX"/>
  <we:alternateReferences>
    <we:reference id="WA102957665" version="1.3.0.0" store="WA102957665" storeType="OMEX"/>
  </we:alternateReferences>
  <we:properties>
    <we:property name="opt_month" value="&quot;2025-09-01&quot;"/>
  </we:properties>
  <we:bindings/>
  <we:snapshot xmlns:r="http://schemas.openxmlformats.org/officeDocument/2006/relationships" r:embed="rId1"/>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drawing" Target="../drawings/drawing3.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2.bin"/><Relationship Id="rId16" Type="http://schemas.openxmlformats.org/officeDocument/2006/relationships/ctrlProp" Target="../ctrlProps/ctrlProp12.xml"/><Relationship Id="rId1" Type="http://schemas.openxmlformats.org/officeDocument/2006/relationships/hyperlink" Target="https://apps.spatialni.gov.uk/NISRABoundariesApplication/index.html"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117" Type="http://schemas.openxmlformats.org/officeDocument/2006/relationships/hyperlink" Target="https://tiledimageservices.arcgis.com/P3ePLMYs2RVChkJx/arcgis/rest/services/KoppenGeiger_Climate_Classification/ImageServer" TargetMode="External"/><Relationship Id="rId21" Type="http://schemas.openxmlformats.org/officeDocument/2006/relationships/hyperlink" Target="https://admin.opendatani.gov.uk/dataset/priority-habitats-fens/resource/5b7e6fa5-bbe2-419d-9881-71144151d9df" TargetMode="External"/><Relationship Id="rId42" Type="http://schemas.openxmlformats.org/officeDocument/2006/relationships/hyperlink" Target="https://nienetworks.opendatasoft.com/explore/dataset/nie-networks-assets-metalclad-switchgear/information/?disjunctive.voltage&amp;disjunctive.year_of_manufacture&amp;disjunctive.rated_voltage&amp;disjunctive.rated_current&amp;disjunctive.site_town_city&amp;disjunctive.site_county" TargetMode="External"/><Relationship Id="rId63" Type="http://schemas.openxmlformats.org/officeDocument/2006/relationships/hyperlink" Target="https://nienetworks.opendatasoft.com/explore/dataset/nie-networks-assets-transmission-transformers/information/?disjunctive.voltage&amp;disjunctive.asset_type&amp;disjunctive.year_of_manufacture&amp;disjunctive.nominal_rating&amp;disjunctive.nominal_rating_unit_of_measurement&amp;disjunctive.rated_primary_voltage&amp;disjunctive.rated_primary_current&amp;disjunctive.rated_secondary_current&amp;disjunctive.site_town_city&amp;disjunctive.site_county&amp;disjunctive.rated_primary_voltage_unit_of_measurement&amp;disjunctive.rated_secondary_current_unit_of_measurement" TargetMode="External"/><Relationship Id="rId84" Type="http://schemas.openxmlformats.org/officeDocument/2006/relationships/hyperlink" Target="https://catalogue.ceda.ac.uk/uuid/3d63c07922fd482b9d43394e02c9d3a8" TargetMode="External"/><Relationship Id="rId138" Type="http://schemas.openxmlformats.org/officeDocument/2006/relationships/hyperlink" Target="https://gasdashboard.entsog.eu/" TargetMode="External"/><Relationship Id="rId159" Type="http://schemas.openxmlformats.org/officeDocument/2006/relationships/hyperlink" Target="https://www.soni.ltd.uk/grid/system-and-renewable-data-reports" TargetMode="External"/><Relationship Id="rId170" Type="http://schemas.openxmlformats.org/officeDocument/2006/relationships/hyperlink" Target="https://portal.spatialni.gov.uk/portal/sharing/servers/19ab66eb1d12452389b6097179818832/rest/services/OSNI4BandOrthophotography/OSNI4BandOrthophotography/ImageServer" TargetMode="External"/><Relationship Id="rId191" Type="http://schemas.openxmlformats.org/officeDocument/2006/relationships/hyperlink" Target="https://ses.jrc.ec.europa.eu/storage-inventory-maps" TargetMode="External"/><Relationship Id="rId205" Type="http://schemas.openxmlformats.org/officeDocument/2006/relationships/hyperlink" Target="https://s-eenergies-open-data-euf.hub.arcgis.com/datasets/007d30053318475f9ec2f10a957c9099_2/about" TargetMode="External"/><Relationship Id="rId226" Type="http://schemas.openxmlformats.org/officeDocument/2006/relationships/hyperlink" Target="https://assets.publishing.service.gov.uk/media/65c9f7cf14b83c000ca716b8/hnpd-january-2024.xlsx" TargetMode="External"/><Relationship Id="rId247" Type="http://schemas.openxmlformats.org/officeDocument/2006/relationships/hyperlink" Target="https://www.arcgis.com/home/item.html?id=007f4845617e4df1babd58bcfe7d14e0" TargetMode="External"/><Relationship Id="rId107" Type="http://schemas.openxmlformats.org/officeDocument/2006/relationships/hyperlink" Target="https://www.arcgis.com/home/item.html?id=c473cff3c016419096c59ffc53b3868a" TargetMode="External"/><Relationship Id="rId11" Type="http://schemas.openxmlformats.org/officeDocument/2006/relationships/hyperlink" Target="https://www.consumercouncil.org.uk/research/featured-research/northern-ireland-household-expenditure-tracker" TargetMode="External"/><Relationship Id="rId32" Type="http://schemas.openxmlformats.org/officeDocument/2006/relationships/hyperlink" Target="https://nienetworks.opendatasoft.com/explore/dataset/nie-networks-assets-capacitor-banks/information/?disjunctive.voltage&amp;disjunctive.year_of_manufacture&amp;disjunctive.site_town_city&amp;disjunctive.site_county&amp;disjunctive.asset_type" TargetMode="External"/><Relationship Id="rId53" Type="http://schemas.openxmlformats.org/officeDocument/2006/relationships/hyperlink" Target="https://nienetworks.opendatasoft.com/explore/dataset/nie-networks-assets-sites-grid-bulk-and-primary-sites/information/?disjunctive.dataset&amp;disjunctive.site_type&amp;disjunctive.site_voltage&amp;disjunctive.site_county" TargetMode="External"/><Relationship Id="rId74" Type="http://schemas.openxmlformats.org/officeDocument/2006/relationships/hyperlink" Target="https://experience.arcgis.com/experience/b8454f3d62164518817e4c581b5555c8/page/Data-Details---Bedrock-Geology" TargetMode="External"/><Relationship Id="rId128" Type="http://schemas.openxmlformats.org/officeDocument/2006/relationships/hyperlink" Target="https://zenodo.org/records/4767098" TargetMode="External"/><Relationship Id="rId149" Type="http://schemas.openxmlformats.org/officeDocument/2006/relationships/hyperlink" Target="https://assets.publishing.service.gov.uk/media/667ad5b45b0d63b556a4b305/2005-22-uk-local-authority-ghg-emissions.xlsx" TargetMode="External"/><Relationship Id="rId5" Type="http://schemas.openxmlformats.org/officeDocument/2006/relationships/hyperlink" Target="https://www.gov.uk/government/statistics/regional-renewable-statistics" TargetMode="External"/><Relationship Id="rId95" Type="http://schemas.openxmlformats.org/officeDocument/2006/relationships/hyperlink" Target="https://admin.opendatani.gov.uk/dataset/c847a3b8-059e-43a3-86dc-2c71fbaea4b8/resource/175b432e-01df-4413-b265-4f85c97914d1/download/assi-updated-25aug2020.geojson" TargetMode="External"/><Relationship Id="rId160" Type="http://schemas.openxmlformats.org/officeDocument/2006/relationships/hyperlink" Target="https://cms.soni.ltd.uk/sites/default/files/2024-12/System-and-Renewable-Data-Summary-Report.xlsx" TargetMode="External"/><Relationship Id="rId181" Type="http://schemas.openxmlformats.org/officeDocument/2006/relationships/hyperlink" Target="https://s-eenergies-open-data-euf.hub.arcgis.com/datasets/21847c1772ee4cef86e1cdbcba39d3c8_0/about" TargetMode="External"/><Relationship Id="rId216" Type="http://schemas.openxmlformats.org/officeDocument/2006/relationships/hyperlink" Target="https://economy-ni.maps.arcgis.com/home/item.html?id=2ee4ea0488ce4be988af3f966fe7d614" TargetMode="External"/><Relationship Id="rId237" Type="http://schemas.openxmlformats.org/officeDocument/2006/relationships/hyperlink" Target="https://datahub.admiralty.co.uk/portal/home/item.html?id=4dbf2ace22bf4f9785fb445d0593bc2c" TargetMode="External"/><Relationship Id="rId258" Type="http://schemas.openxmlformats.org/officeDocument/2006/relationships/hyperlink" Target="https://gitlab.com/hotmaps/buildings/heat/heat_tot_curr_density/-/blob/master/data/heat_tot_curr_density.tif" TargetMode="External"/><Relationship Id="rId22" Type="http://schemas.openxmlformats.org/officeDocument/2006/relationships/hyperlink" Target="https://services-eu1.arcgis.com/kswen6BYexuc1SUk/arcgis/rest/services/PriorityHabitatsWoodland/FeatureServer/0" TargetMode="External"/><Relationship Id="rId43" Type="http://schemas.openxmlformats.org/officeDocument/2006/relationships/hyperlink" Target="https://nienetworks.opendatasoft.com/explore/dataset/nie-networks-assets-metalclad-switchgear/information/?disjunctive.voltage&amp;disjunctive.year_of_manufacture&amp;disjunctive.rated_voltage&amp;disjunctive.rated_current&amp;disjunctive.site_town_city&amp;disjunctive.site_county" TargetMode="External"/><Relationship Id="rId64" Type="http://schemas.openxmlformats.org/officeDocument/2006/relationships/hyperlink" Target="https://nienetworks.opendatasoft.com/explore/dataset/dataset-of-datasets/export/" TargetMode="External"/><Relationship Id="rId118" Type="http://schemas.openxmlformats.org/officeDocument/2006/relationships/hyperlink" Target="https://www.economy-ni.gov.uk/publications/further-education-sector-activity-northern-ireland-assembly-area-201819-202223" TargetMode="External"/><Relationship Id="rId139" Type="http://schemas.openxmlformats.org/officeDocument/2006/relationships/hyperlink" Target="https://gasdashboard.entsog.eu/" TargetMode="External"/><Relationship Id="rId85" Type="http://schemas.openxmlformats.org/officeDocument/2006/relationships/hyperlink" Target="https://data.ceda.ac.uk/badc/ukcp18/data/marine-sim/ext-sea-lev-expl-shp/rcp85/extremeSeaLevel/v20230124" TargetMode="External"/><Relationship Id="rId150" Type="http://schemas.openxmlformats.org/officeDocument/2006/relationships/hyperlink" Target="https://www.gov.uk/government/statistics/uk-local-authority-and-regional-greenhouse-gas-emissions-statistics-2005-to-2022" TargetMode="External"/><Relationship Id="rId171" Type="http://schemas.openxmlformats.org/officeDocument/2006/relationships/hyperlink" Target="https://portal.spatialni.gov.uk/portal/sharing/servers/176e9ae126b64e7a9987e462cbf9459d/rest/services/Addresses/OSNI_Pointer/MapServer" TargetMode="External"/><Relationship Id="rId192" Type="http://schemas.openxmlformats.org/officeDocument/2006/relationships/hyperlink" Target="https://ses.jrc.ec.europa.eu/storage-inventory-maps" TargetMode="External"/><Relationship Id="rId206" Type="http://schemas.openxmlformats.org/officeDocument/2006/relationships/hyperlink" Target="https://services7.arcgis.com/yw4gqar8UPhNkPqY/arcgis/rest/services/HD15_by_HDD_by_PSD_Peta5_0/FeatureServer" TargetMode="External"/><Relationship Id="rId227" Type="http://schemas.openxmlformats.org/officeDocument/2006/relationships/hyperlink" Target="https://www.data.gov.uk/dataset/8a5139b3-e49b-47bd-abba-d0199b624d8a/heat-networks-planning-database" TargetMode="External"/><Relationship Id="rId248" Type="http://schemas.openxmlformats.org/officeDocument/2006/relationships/hyperlink" Target="https://www.data.gov.uk/dataset/f547129e-a722-4992-9f37-baa3b1a516a7/heat-networks-registered-under-the-heat-network-metering-and-billing-regulations" TargetMode="External"/><Relationship Id="rId12" Type="http://schemas.openxmlformats.org/officeDocument/2006/relationships/hyperlink" Target="https://www.gov.uk/government/statistics/total-final-energy-consumption-at-regional-and-local-authority-level-2005-to-2022" TargetMode="External"/><Relationship Id="rId33" Type="http://schemas.openxmlformats.org/officeDocument/2006/relationships/hyperlink" Target="https://nienetworks.opendatasoft.com/explore/dataset/nie-networks-assets-capacitor-banks/information/?disjunctive.voltage&amp;disjunctive.year_of_manufacture&amp;disjunctive.site_town_city&amp;disjunctive.site_county&amp;disjunctive.asset_type" TargetMode="External"/><Relationship Id="rId108" Type="http://schemas.openxmlformats.org/officeDocument/2006/relationships/hyperlink" Target="https://services3.arcgis.com/HRuPlEcokYlz4mdz/arcgis/rest/services/Nitrogen_Dioxide/FeatureServer" TargetMode="External"/><Relationship Id="rId129" Type="http://schemas.openxmlformats.org/officeDocument/2006/relationships/hyperlink" Target="https://eepublicdownloads.entsoe.eu/clean-documents/Publications/maps/2024/ENTSOE_Grid_Map.pdf" TargetMode="External"/><Relationship Id="rId54" Type="http://schemas.openxmlformats.org/officeDocument/2006/relationships/hyperlink" Target="https://nienetworks.opendatasoft.com/explore/dataset/nie-networks-assets-sites-grid-supply-points/information/?disjunctive.site_type&amp;disjunctive.site_voltage&amp;disjunctive.site_town_city&amp;disjunctive.site_county" TargetMode="External"/><Relationship Id="rId75" Type="http://schemas.openxmlformats.org/officeDocument/2006/relationships/hyperlink" Target="https://services-eu1.arcgis.com/kswen6BYexuc1SUk/arcgis/rest/services/Bedrock_Geology/FeatureServer" TargetMode="External"/><Relationship Id="rId96" Type="http://schemas.openxmlformats.org/officeDocument/2006/relationships/hyperlink" Target="https://admin.opendatani.gov.uk/dataset/ramsar-sites" TargetMode="External"/><Relationship Id="rId140" Type="http://schemas.openxmlformats.org/officeDocument/2006/relationships/hyperlink" Target="https://gasdashboard.entsog.eu/" TargetMode="External"/><Relationship Id="rId161" Type="http://schemas.openxmlformats.org/officeDocument/2006/relationships/hyperlink" Target="https://services1.arcgis.com/HpEsBWdtIcqCSe9e/arcgis/rest/services/Excess_heat_sources_Web_Layer/FeatureServer" TargetMode="External"/><Relationship Id="rId182" Type="http://schemas.openxmlformats.org/officeDocument/2006/relationships/hyperlink" Target="https://services7.arcgis.com/yw4gqar8UPhNkPqY/arcgis/rest/services/UA_Future_DH_Potentials/FeatureServer" TargetMode="External"/><Relationship Id="rId217" Type="http://schemas.openxmlformats.org/officeDocument/2006/relationships/hyperlink" Target="https://www.nienetworks.co.uk/documents/connections/capacity-map-data" TargetMode="External"/><Relationship Id="rId1" Type="http://schemas.openxmlformats.org/officeDocument/2006/relationships/hyperlink" Target="https://www.gov.uk/government/publications/renewable-energy-planning-database-monthly-extract" TargetMode="External"/><Relationship Id="rId6" Type="http://schemas.openxmlformats.org/officeDocument/2006/relationships/hyperlink" Target="https://www.gov.uk/government/statistics/regional-renewable-statistics" TargetMode="External"/><Relationship Id="rId212" Type="http://schemas.openxmlformats.org/officeDocument/2006/relationships/hyperlink" Target="https://services7.arcgis.com/yw4gqar8UPhNkPqY/arcgis/rest/services/D5_3_Excess_Heat_District_Heating_2015_Contour/FeatureServer" TargetMode="External"/><Relationship Id="rId233" Type="http://schemas.openxmlformats.org/officeDocument/2006/relationships/hyperlink" Target="https://admin.opendatani.gov.uk/dataset/a47e1630-086f-4b92-9416-1197cc8c633a/resource/87be45a3-52b7-4724-8d62-859a5d4946e4/download/mineralresources.shp.zip" TargetMode="External"/><Relationship Id="rId238" Type="http://schemas.openxmlformats.org/officeDocument/2006/relationships/hyperlink" Target="https://datahub.admiralty.co.uk/portal/home/item.html?id=fb6ca62a261f4798b28b320c38f7e229" TargetMode="External"/><Relationship Id="rId254" Type="http://schemas.openxmlformats.org/officeDocument/2006/relationships/hyperlink" Target="https://www.arcgis.com/home/item.html?id=d7d18b63250240a49eb81db972aa573e" TargetMode="External"/><Relationship Id="rId259" Type="http://schemas.openxmlformats.org/officeDocument/2006/relationships/hyperlink" Target="https://gitlab.com/hotmaps/buildings/heat/heat_tot_curr_density/-/tree/master" TargetMode="External"/><Relationship Id="rId23" Type="http://schemas.openxmlformats.org/officeDocument/2006/relationships/hyperlink" Target="https://admin.opendatani.gov.uk/dataset/priority-habitats-woodland/resource/ea6e42b4-81d0-4e7a-82dd-6b2fdb56e807" TargetMode="External"/><Relationship Id="rId28" Type="http://schemas.openxmlformats.org/officeDocument/2006/relationships/hyperlink" Target="https://www.daera-ni.gov.uk/sites/default/files/publications/daera/Special%20Areas%20of%20Conservation%20-%20British%20National%20Grid_1.zip" TargetMode="External"/><Relationship Id="rId49" Type="http://schemas.openxmlformats.org/officeDocument/2006/relationships/hyperlink" Target="https://nienetworks.opendatasoft.com/explore/dataset/nie-networks-assets-secondary-transformers/information/?disjunctive.voltage&amp;disjunctive.year_of_manufacture&amp;disjunctive.nominal_rating&amp;disjunctive.nominal_rating_unit_of_measurement&amp;disjunctive.rated_primary_voltage&amp;disjunctive.site_town_city&amp;disjunctive.site_county&amp;disjunctive.asset_type&amp;disjunctive.rated_primary_voltage_unit_of_measurement" TargetMode="External"/><Relationship Id="rId114" Type="http://schemas.openxmlformats.org/officeDocument/2006/relationships/hyperlink" Target="https://data.nisra.gov.uk/" TargetMode="External"/><Relationship Id="rId119" Type="http://schemas.openxmlformats.org/officeDocument/2006/relationships/hyperlink" Target="https://www.economy-ni.gov.uk/sites/default/files/publications/economy/FE-Sector-Activity-NI-AA-2018-19-2022-23-tables.xlsx" TargetMode="External"/><Relationship Id="rId44" Type="http://schemas.openxmlformats.org/officeDocument/2006/relationships/hyperlink" Target="https://nienetworks.opendatasoft.com/explore/dataset/nie-networks-assets-power-flow-controllers/information/?disjunctive.voltage&amp;disjunctive.asset_type&amp;disjunctive.site_town_city&amp;disjunctive.site_county" TargetMode="External"/><Relationship Id="rId60" Type="http://schemas.openxmlformats.org/officeDocument/2006/relationships/hyperlink" Target="https://nienetworks.opendatasoft.com/explore/dataset/nie-networks-assets-transmission-switchgear/information/?disjunctive.voltage&amp;disjunctive.asset_type&amp;disjunctive.year_of_manufacture&amp;disjunctive.rated_voltage&amp;disjunctive.rated_current&amp;disjunctive.site_town_city&amp;disjunctive.site_county&amp;disjunctive.rated_voltage_unit_of_measurement&amp;disjunctive.rated_current_unit_of_measurement" TargetMode="External"/><Relationship Id="rId65" Type="http://schemas.openxmlformats.org/officeDocument/2006/relationships/hyperlink" Target="https://nienetworks.opendatasoft.com/explore/dataset/dataset-of-datasets/export/" TargetMode="External"/><Relationship Id="rId81" Type="http://schemas.openxmlformats.org/officeDocument/2006/relationships/hyperlink" Target="https://services-eu1.arcgis.com/kswen6BYexuc1SUk/arcgis/rest/services/Superficial_Geology/FeatureServer" TargetMode="External"/><Relationship Id="rId86" Type="http://schemas.openxmlformats.org/officeDocument/2006/relationships/hyperlink" Target="https://catalogue.ceda.ac.uk/uuid/2b0261d03ae34e4abc8e32cb1a805887/?search_url=%2F%253Fq%253Dnorthern%2Bireland%26sort_by%253Drelevance%26results_per_page%253D20%26page%253D1" TargetMode="External"/><Relationship Id="rId130" Type="http://schemas.openxmlformats.org/officeDocument/2006/relationships/hyperlink" Target="https://www.entsoe.eu/data/map/" TargetMode="External"/><Relationship Id="rId135" Type="http://schemas.openxmlformats.org/officeDocument/2006/relationships/hyperlink" Target="https://www.entsog.eu/sites/default/files/2025-01/ENTSOG_GIE_SYSCAP_2025_1600x1200_FULL_114_FLAT.pdf" TargetMode="External"/><Relationship Id="rId151" Type="http://schemas.openxmlformats.org/officeDocument/2006/relationships/hyperlink" Target="https://admin.opendatani.gov.uk/dataset/7c00c1f5-6cd3-405d-b79e-61c19c4990b9/resource/a1ea4f61-bfff-4ef1-98f7-84552f7c1911/download/ni250kbedrockgeologylines.geojson" TargetMode="External"/><Relationship Id="rId156" Type="http://schemas.openxmlformats.org/officeDocument/2006/relationships/hyperlink" Target="https://www.opendatani.gov.uk/dataset/gsni-250k-geology" TargetMode="External"/><Relationship Id="rId177" Type="http://schemas.openxmlformats.org/officeDocument/2006/relationships/hyperlink" Target="https://s-eenergies-open-data-euf.hub.arcgis.com/datasets/f8365535ca934875800d02215739b5e6_0/about" TargetMode="External"/><Relationship Id="rId198" Type="http://schemas.openxmlformats.org/officeDocument/2006/relationships/hyperlink" Target="https://s-eenergies-open-data-euf.hub.arcgis.com/datasets/1397de1cc4724d8398bd59cdd162e29a/explore" TargetMode="External"/><Relationship Id="rId172" Type="http://schemas.openxmlformats.org/officeDocument/2006/relationships/hyperlink" Target="https://portal.spatialni.gov.uk/portal/sharing/servers/ff286ab849024b56b1f805a5cf689b09/rest/services/VectorBasemaps/OSNIFusionBasemap/MapServer" TargetMode="External"/><Relationship Id="rId193" Type="http://schemas.openxmlformats.org/officeDocument/2006/relationships/hyperlink" Target="https://www.data.gov.uk/dataset/e5354413-a97c-4f1b-92e5-cebf0ca824b5/listed-buildings-northern-ireland" TargetMode="External"/><Relationship Id="rId202" Type="http://schemas.openxmlformats.org/officeDocument/2006/relationships/hyperlink" Target="https://services1.arcgis.com/HpEsBWdtIcqCSe9e/arcgis/rest/services/D5_3_eroads_routes/FeatureServer" TargetMode="External"/><Relationship Id="rId207" Type="http://schemas.openxmlformats.org/officeDocument/2006/relationships/hyperlink" Target="https://s-eenergies-open-data-euf.hub.arcgis.com/datasets/1495526dcec1434f86ac101b92126c28_0/about" TargetMode="External"/><Relationship Id="rId223" Type="http://schemas.openxmlformats.org/officeDocument/2006/relationships/hyperlink" Target="https://datadashboard.mcscertified.com/InstallationInsights" TargetMode="External"/><Relationship Id="rId228" Type="http://schemas.openxmlformats.org/officeDocument/2006/relationships/hyperlink" Target="https://map.hugeo.hu/geo_DH/" TargetMode="External"/><Relationship Id="rId244" Type="http://schemas.openxmlformats.org/officeDocument/2006/relationships/hyperlink" Target="https://datahub.admiralty.co.uk/portal/home/item.html?id=4e681cd1a4b24e34b66ff51c3933d0b0" TargetMode="External"/><Relationship Id="rId249" Type="http://schemas.openxmlformats.org/officeDocument/2006/relationships/hyperlink" Target="https://assets.publishing.service.gov.uk/media/654b6cc2e2e16a000d42ab74/Heat_Networks_registered_under_the_Heat_Network__Metering_and_Billing__Regulations_December_2022.xlsx" TargetMode="External"/><Relationship Id="rId13" Type="http://schemas.openxmlformats.org/officeDocument/2006/relationships/hyperlink" Target="https://www.daera-ni.gov.uk/publications/northern-ireland-greenhouse-gas-projections-based-2021-greenhouse-gas-inventory" TargetMode="External"/><Relationship Id="rId18" Type="http://schemas.openxmlformats.org/officeDocument/2006/relationships/hyperlink" Target="https://services-eu1.arcgis.com/kswen6BYexuc1SUk/arcgis/rest/services/PriorityHabitatsHeathland/FeatureServer/0" TargetMode="External"/><Relationship Id="rId39" Type="http://schemas.openxmlformats.org/officeDocument/2006/relationships/hyperlink" Target="https://nienetworks.opendatasoft.com/explore/dataset/nie-networks-assets-liquid-neutral-earthing-resistors-lners/information/?disjunctive.voltage&amp;disjunctive.year_of_manufacture&amp;disjunctive.site_town_city&amp;disjunctive.site_county&amp;disjunctive.asset_type" TargetMode="External"/><Relationship Id="rId109" Type="http://schemas.openxmlformats.org/officeDocument/2006/relationships/hyperlink" Target="https://uk-air.defra.gov.uk/data/laqm-background-maps" TargetMode="External"/><Relationship Id="rId260" Type="http://schemas.openxmlformats.org/officeDocument/2006/relationships/hyperlink" Target="https://www.gov.uk/government/statistics/energy-consumption-in-the-uk-2023" TargetMode="External"/><Relationship Id="rId34" Type="http://schemas.openxmlformats.org/officeDocument/2006/relationships/hyperlink" Target="https://nienetworks.opendatasoft.com/explore/dataset/nie-networks-assets-distribution-tap-changers/information/?disjunctive.voltage&amp;disjunctive.asset_type&amp;disjunctive.year_of_manufacture&amp;disjunctive.site_town_city&amp;disjunctive.site_county" TargetMode="External"/><Relationship Id="rId50" Type="http://schemas.openxmlformats.org/officeDocument/2006/relationships/hyperlink" Target="https://nienetworks.opendatasoft.com/explore/dataset/nie-networks-assets-sites-bulk-supply-points/information/?disjunctive.site_type&amp;disjunctive.site_voltage&amp;disjunctive.site_town_city&amp;disjunctive.site_county" TargetMode="External"/><Relationship Id="rId55" Type="http://schemas.openxmlformats.org/officeDocument/2006/relationships/hyperlink" Target="https://nienetworks.opendatasoft.com/explore/dataset/nie-networks-assets-sites-grid-supply-points/information/?disjunctive.site_type&amp;disjunctive.site_voltage&amp;disjunctive.site_town_city&amp;disjunctive.site_county" TargetMode="External"/><Relationship Id="rId76" Type="http://schemas.openxmlformats.org/officeDocument/2006/relationships/hyperlink" Target="https://experience.arcgis.com/experience/b8454f3d62164518817e4c581b5555c8/page/Data-Details---Historic-Shoreline-Analysis" TargetMode="External"/><Relationship Id="rId97" Type="http://schemas.openxmlformats.org/officeDocument/2006/relationships/hyperlink" Target="https://admin.opendatani.gov.uk/dataset/56396b26-d99c-4349-9ca3-d3906ab89567/resource/8fe81f8f-091b-4ad8-ae1d-7ba7a6167f14/download/ramsarsites-updated-27aug2020.geojson" TargetMode="External"/><Relationship Id="rId104" Type="http://schemas.openxmlformats.org/officeDocument/2006/relationships/hyperlink" Target="https://labs.thinkbroadband.com/local/N05000013" TargetMode="External"/><Relationship Id="rId120" Type="http://schemas.openxmlformats.org/officeDocument/2006/relationships/hyperlink" Target="https://www.economy-ni.gov.uk/publications/apprenticeshipsni-statistics-august-2018-october-2024" TargetMode="External"/><Relationship Id="rId125" Type="http://schemas.openxmlformats.org/officeDocument/2006/relationships/hyperlink" Target="https://s3.opengeohub.org/global/edtm/legendtm_rf_30m_m_s_20000101_20231231_go_epsg.4326_v20250130.tif" TargetMode="External"/><Relationship Id="rId141" Type="http://schemas.openxmlformats.org/officeDocument/2006/relationships/hyperlink" Target="https://www.gov.uk/guidance/oil-and-gas-onshore-maps-and-gis-shapefiles" TargetMode="External"/><Relationship Id="rId146" Type="http://schemas.openxmlformats.org/officeDocument/2006/relationships/hyperlink" Target="https://www.gov.uk/government/statistics/uk-road-transport-energy-consumption-at-regional-and-local-authority-level-2005-to-2022" TargetMode="External"/><Relationship Id="rId167" Type="http://schemas.openxmlformats.org/officeDocument/2006/relationships/hyperlink" Target="https://www.renewables-atlas.info/user-guide/" TargetMode="External"/><Relationship Id="rId188" Type="http://schemas.openxmlformats.org/officeDocument/2006/relationships/hyperlink" Target="https://services7.arcgis.com/yw4gqar8UPhNkPqY/arcgis/rest/services/InterUrbanDistances/FeatureServer" TargetMode="External"/><Relationship Id="rId7" Type="http://schemas.openxmlformats.org/officeDocument/2006/relationships/hyperlink" Target="https://globalsolaratlas.info/download/united-kingdom" TargetMode="External"/><Relationship Id="rId71" Type="http://schemas.openxmlformats.org/officeDocument/2006/relationships/hyperlink" Target="https://tiles-eu1.arcgis.com/kswen6BYexuc1SUk/arcgis/rest/services/3D_Coastal_Survey_Full_NI_LAS/SceneServer" TargetMode="External"/><Relationship Id="rId92" Type="http://schemas.openxmlformats.org/officeDocument/2006/relationships/hyperlink" Target="https://admin.opendatani.gov.uk/dataset/special-areas-of-conservation" TargetMode="External"/><Relationship Id="rId162" Type="http://schemas.openxmlformats.org/officeDocument/2006/relationships/hyperlink" Target="https://www.euroheat.org/dhc/eu-projects/re-use-heat" TargetMode="External"/><Relationship Id="rId183" Type="http://schemas.openxmlformats.org/officeDocument/2006/relationships/hyperlink" Target="https://s-eenergies-open-data-euf.hub.arcgis.com/datasets/2357e5fcfb744d2f8f842cd7171a90a0_0/about" TargetMode="External"/><Relationship Id="rId213" Type="http://schemas.openxmlformats.org/officeDocument/2006/relationships/hyperlink" Target="https://s-eenergies-open-data-euf.hub.arcgis.com/datasets/d7d154de380b4b2b8f9d6d03c5ace4dc_0/about" TargetMode="External"/><Relationship Id="rId218" Type="http://schemas.openxmlformats.org/officeDocument/2006/relationships/hyperlink" Target="https://www.nienetworks.co.uk/connections/capacity-map" TargetMode="External"/><Relationship Id="rId234" Type="http://schemas.openxmlformats.org/officeDocument/2006/relationships/hyperlink" Target="https://datahub.admiralty.co.uk/portal/home/item.html?id=bf77b2ac1b654efc95dc3665c0501e23" TargetMode="External"/><Relationship Id="rId239" Type="http://schemas.openxmlformats.org/officeDocument/2006/relationships/hyperlink" Target="https://datahub.admiralty.co.uk/portal/home/item.html?id=fb6ca62a261f4798b28b320c38f7e229" TargetMode="External"/><Relationship Id="rId2" Type="http://schemas.openxmlformats.org/officeDocument/2006/relationships/hyperlink" Target="https://www.infrastructure-ni.gov.uk/publications/renewable-energy-planning-applications-list-april-2002-december-2023" TargetMode="External"/><Relationship Id="rId29" Type="http://schemas.openxmlformats.org/officeDocument/2006/relationships/hyperlink" Target="https://admin.opendatani.gov.uk/dataset/special-areas-of-conservation/resource/d0799017-41a9-4faa-8068-88a90d0f4c3a" TargetMode="External"/><Relationship Id="rId250" Type="http://schemas.openxmlformats.org/officeDocument/2006/relationships/hyperlink" Target="https://sdi.eea.europa.eu/catalogue/srv/api/records/55854f4a-19b7-49f3-abd3-4f974a683d6f/formatters/xsl-view?output=pdf&amp;language=eng&amp;approved=true" TargetMode="External"/><Relationship Id="rId255" Type="http://schemas.openxmlformats.org/officeDocument/2006/relationships/hyperlink" Target="https://www.arcgis.com/home/item.html?id=d7d18b63250240a49eb81db972aa573e" TargetMode="External"/><Relationship Id="rId24" Type="http://schemas.openxmlformats.org/officeDocument/2006/relationships/hyperlink" Target="https://services-eu1.arcgis.com/kswen6BYexuc1SUk/arcgis/rest/services/PriorityHabitatsGrassland/FeatureServer/0" TargetMode="External"/><Relationship Id="rId40" Type="http://schemas.openxmlformats.org/officeDocument/2006/relationships/hyperlink" Target="https://nienetworks.opendatasoft.com/explore/dataset/nie-networks-assets-lv-switchgear/information/?disjunctive.voltage&amp;disjunctive.year_of_manufacture&amp;disjunctive.rated_current&amp;disjunctive.rated_current_unit_of_measurement&amp;disjunctive.site_county&amp;disjunctive.asset_type&amp;disjunctive.site_town_city" TargetMode="External"/><Relationship Id="rId45" Type="http://schemas.openxmlformats.org/officeDocument/2006/relationships/hyperlink" Target="https://nienetworks.opendatasoft.com/explore/dataset/nie-networks-assets-power-flow-controllers/information/?disjunctive.voltage&amp;disjunctive.asset_type&amp;disjunctive.site_town_city&amp;disjunctive.site_county" TargetMode="External"/><Relationship Id="rId66" Type="http://schemas.openxmlformats.org/officeDocument/2006/relationships/hyperlink" Target="https://nienetworks.opendatasoft.com/explore/dataset/nie-networks-network-faults/information/?disjunctive.postcode" TargetMode="External"/><Relationship Id="rId87" Type="http://schemas.openxmlformats.org/officeDocument/2006/relationships/hyperlink" Target="https://catalogue.ceda.ac.uk/uuid/51132aea5ed0433ca338d32a912e3976/" TargetMode="External"/><Relationship Id="rId110" Type="http://schemas.openxmlformats.org/officeDocument/2006/relationships/hyperlink" Target="https://data.nisra.gov.uk/table/MYE01T026" TargetMode="External"/><Relationship Id="rId115" Type="http://schemas.openxmlformats.org/officeDocument/2006/relationships/hyperlink" Target="https://data.nisra.gov.uk/table/INDEMPRATEAA" TargetMode="External"/><Relationship Id="rId131" Type="http://schemas.openxmlformats.org/officeDocument/2006/relationships/hyperlink" Target="https://www.h2inframap.eu/" TargetMode="External"/><Relationship Id="rId136" Type="http://schemas.openxmlformats.org/officeDocument/2006/relationships/hyperlink" Target="https://www.entsog.eu/sites/default/files/2025-01/System%20Capacity%20Map%202025%20-%20Capacities.xlsx" TargetMode="External"/><Relationship Id="rId157" Type="http://schemas.openxmlformats.org/officeDocument/2006/relationships/hyperlink" Target="https://www.soni.ltd.uk/grid/real-time-system-information" TargetMode="External"/><Relationship Id="rId178" Type="http://schemas.openxmlformats.org/officeDocument/2006/relationships/hyperlink" Target="https://services7.arcgis.com/yw4gqar8UPhNkPqY/arcgis/rest/services/UA_heat_sources/FeatureServer" TargetMode="External"/><Relationship Id="rId61" Type="http://schemas.openxmlformats.org/officeDocument/2006/relationships/hyperlink" Target="https://nienetworks.opendatasoft.com/explore/dataset/nie-networks-assets-transmission-switchgear/information/?disjunctive.voltage&amp;disjunctive.asset_type&amp;disjunctive.year_of_manufacture&amp;disjunctive.rated_voltage&amp;disjunctive.rated_current&amp;disjunctive.site_town_city&amp;disjunctive.site_county&amp;disjunctive.rated_voltage_unit_of_measurement&amp;disjunctive.rated_current_unit_of_measurement" TargetMode="External"/><Relationship Id="rId82" Type="http://schemas.openxmlformats.org/officeDocument/2006/relationships/hyperlink" Target="https://services-eu1.arcgis.com/kswen6BYexuc1SUk/arcgis/rest/services/i917U/FeatureServer" TargetMode="External"/><Relationship Id="rId152" Type="http://schemas.openxmlformats.org/officeDocument/2006/relationships/hyperlink" Target="https://www.opendatani.gov.uk/dataset/gsni-250k-geology" TargetMode="External"/><Relationship Id="rId173" Type="http://schemas.openxmlformats.org/officeDocument/2006/relationships/hyperlink" Target="https://services7.arcgis.com/yw4gqar8UPhNkPqY/arcgis/rest/services/D5_1_Industry_Dataset/FeatureServer" TargetMode="External"/><Relationship Id="rId194" Type="http://schemas.openxmlformats.org/officeDocument/2006/relationships/hyperlink" Target="https://www.data.gov.uk/dataset/e5354413-a97c-4f1b-92e5-cebf0ca824b5/listed-buildings-northern-ireland" TargetMode="External"/><Relationship Id="rId199" Type="http://schemas.openxmlformats.org/officeDocument/2006/relationships/hyperlink" Target="https://s-eenergies-open-data-euf.hub.arcgis.com/datasets/aau::-d5-3-dataset-of-urban-areas-ua-with-cycling-potential/about" TargetMode="External"/><Relationship Id="rId203" Type="http://schemas.openxmlformats.org/officeDocument/2006/relationships/hyperlink" Target="https://s-eenergies-open-data-euf.hub.arcgis.com/datasets/aau::d5-3-eroads-routes-buffers/about" TargetMode="External"/><Relationship Id="rId208" Type="http://schemas.openxmlformats.org/officeDocument/2006/relationships/hyperlink" Target="https://services7.arcgis.com/yw4gqar8UPhNkPqY/arcgis/rest/services/D5_7_sEEnergies_Index/FeatureServer" TargetMode="External"/><Relationship Id="rId229" Type="http://schemas.openxmlformats.org/officeDocument/2006/relationships/hyperlink" Target="https://map.hugeo.hu/arcgis/rest/services/geodh/geo_dh/MapServer" TargetMode="External"/><Relationship Id="rId19" Type="http://schemas.openxmlformats.org/officeDocument/2006/relationships/hyperlink" Target="https://admin.opendatani.gov.uk/dataset/priority-habitats-heathland/resource/dc37dcb3-ef0a-43fe-b2e5-4ee91d6c4e42" TargetMode="External"/><Relationship Id="rId224" Type="http://schemas.openxmlformats.org/officeDocument/2006/relationships/hyperlink" Target="https://naei.energysecurity.gov.uk/data/maps/emissions-point-sources" TargetMode="External"/><Relationship Id="rId240" Type="http://schemas.openxmlformats.org/officeDocument/2006/relationships/hyperlink" Target="https://datahub.admiralty.co.uk/portal/home/item.html?id=bdd657dd218249dea3a0c5ac5ef880a4" TargetMode="External"/><Relationship Id="rId245" Type="http://schemas.openxmlformats.org/officeDocument/2006/relationships/hyperlink" Target="https://datahub.admiralty.co.uk/portal/home/item.html?id=4e681cd1a4b24e34b66ff51c3933d0b0" TargetMode="External"/><Relationship Id="rId261" Type="http://schemas.openxmlformats.org/officeDocument/2006/relationships/hyperlink" Target="https://view.officeapps.live.com/op/view.aspx?src=https%3A%2F%2Fassets.publishing.service.gov.uk%2Fmedia%2F66a7e5a5ce1fd0da7b592f0f%2FECUK_2023_End_Use_tables.xlsx&amp;wdOrigin=BROWSELINK" TargetMode="External"/><Relationship Id="rId14" Type="http://schemas.openxmlformats.org/officeDocument/2006/relationships/hyperlink" Target="https://globalwindatlas.info/en/" TargetMode="External"/><Relationship Id="rId30" Type="http://schemas.openxmlformats.org/officeDocument/2006/relationships/hyperlink" Target="https://www.arcgis.com/home/item.html?id=b2b08c2057c545c29cf8217a350bc545" TargetMode="External"/><Relationship Id="rId35" Type="http://schemas.openxmlformats.org/officeDocument/2006/relationships/hyperlink" Target="https://nienetworks.opendatasoft.com/explore/dataset/nie-networks-assets-distribution-tap-changers/information/?disjunctive.voltage&amp;disjunctive.asset_type&amp;disjunctive.year_of_manufacture&amp;disjunctive.site_town_city&amp;disjunctive.site_county" TargetMode="External"/><Relationship Id="rId56" Type="http://schemas.openxmlformats.org/officeDocument/2006/relationships/hyperlink" Target="https://nienetworks.opendatasoft.com/explore/dataset/nie-networks-assets-sites-primary-substations/information/?disjunctive.site_type&amp;disjunctive.site_voltage&amp;disjunctive.site_town_city&amp;disjunctive.site_county" TargetMode="External"/><Relationship Id="rId77" Type="http://schemas.openxmlformats.org/officeDocument/2006/relationships/hyperlink" Target="https://services-eu1.arcgis.com/kswen6BYexuc1SUk/arcgis/rest/services/Historic_Shoreline_Analysis/FeatureServer" TargetMode="External"/><Relationship Id="rId100" Type="http://schemas.openxmlformats.org/officeDocument/2006/relationships/hyperlink" Target="https://www.keybiodiversityareas.org/kba-data/request" TargetMode="External"/><Relationship Id="rId105" Type="http://schemas.openxmlformats.org/officeDocument/2006/relationships/hyperlink" Target="https://labs.thinkbroadband.com/local/N05000013" TargetMode="External"/><Relationship Id="rId126" Type="http://schemas.openxmlformats.org/officeDocument/2006/relationships/hyperlink" Target="https://better-open-data.com/" TargetMode="External"/><Relationship Id="rId147" Type="http://schemas.openxmlformats.org/officeDocument/2006/relationships/hyperlink" Target="https://naei.energysecurity.gov.uk/sites/default/files/cat09/2406181003_DA_GHGI_1990-2022_v2.1.xlsx" TargetMode="External"/><Relationship Id="rId168" Type="http://schemas.openxmlformats.org/officeDocument/2006/relationships/hyperlink" Target="https://www.renewables-atlas.info/downloads/" TargetMode="External"/><Relationship Id="rId8" Type="http://schemas.openxmlformats.org/officeDocument/2006/relationships/hyperlink" Target="https://www.gov.uk/government/statistics/sub-national-gas-consumption-statistics-in-northern-ireland" TargetMode="External"/><Relationship Id="rId51" Type="http://schemas.openxmlformats.org/officeDocument/2006/relationships/hyperlink" Target="https://nienetworks.opendatasoft.com/explore/dataset/nie-networks-assets-sites-bulk-supply-points/information/?disjunctive.site_type&amp;disjunctive.site_voltage&amp;disjunctive.site_town_city&amp;disjunctive.site_county" TargetMode="External"/><Relationship Id="rId72" Type="http://schemas.openxmlformats.org/officeDocument/2006/relationships/hyperlink" Target="https://experience.arcgis.com/experience/b8454f3d62164518817e4c581b5555c8/page/Data-Details---Satellite-Derived-Bathymetry" TargetMode="External"/><Relationship Id="rId93" Type="http://schemas.openxmlformats.org/officeDocument/2006/relationships/hyperlink" Target="https://admin.opendatani.gov.uk/dataset/3a9ff337-634b-4bd5-89ad-dc85b6e5e178/resource/5564c94a-eba5-4633-bc21-f79426ade0af/download/special-areas-of-conservation-updated-27aug2020.geojson" TargetMode="External"/><Relationship Id="rId98" Type="http://schemas.openxmlformats.org/officeDocument/2006/relationships/hyperlink" Target="https://admin.opendatani.gov.uk/dataset/northern-ireland-marine-protected-areas-mpas" TargetMode="External"/><Relationship Id="rId121" Type="http://schemas.openxmlformats.org/officeDocument/2006/relationships/hyperlink" Target="https://www.economy-ni.gov.uk/sites/default/files/2025-01/ApprenticeshipsNI-tables-January-2025.xlsx" TargetMode="External"/><Relationship Id="rId142" Type="http://schemas.openxmlformats.org/officeDocument/2006/relationships/hyperlink" Target="http://itportal.decc.gov.uk/web_files/gis/shapefiles/DECC_ON_Coastline_OSGB.zip" TargetMode="External"/><Relationship Id="rId163" Type="http://schemas.openxmlformats.org/officeDocument/2006/relationships/hyperlink" Target="https://www.arcgis.com/home/item.html?id=b62b8ad79f0e4ae38f032ad6aadb91a0" TargetMode="External"/><Relationship Id="rId184" Type="http://schemas.openxmlformats.org/officeDocument/2006/relationships/hyperlink" Target="https://services7.arcgis.com/yw4gqar8UPhNkPqY/arcgis/rest/services/Available_excess_heat_from_WWTP_ReUseHeat/FeatureServer/0" TargetMode="External"/><Relationship Id="rId189" Type="http://schemas.openxmlformats.org/officeDocument/2006/relationships/hyperlink" Target="https://ember-energy.org/data/european-wholesale-electricity-price-data/" TargetMode="External"/><Relationship Id="rId219" Type="http://schemas.openxmlformats.org/officeDocument/2006/relationships/hyperlink" Target="https://www.xoserve.com/help-centre/supply-points-metering/supply-point-administration-spa/" TargetMode="External"/><Relationship Id="rId3" Type="http://schemas.openxmlformats.org/officeDocument/2006/relationships/hyperlink" Target="https://www.gov.uk/government/statistics/regional-renewable-statistics" TargetMode="External"/><Relationship Id="rId214" Type="http://schemas.openxmlformats.org/officeDocument/2006/relationships/hyperlink" Target="https://services7.arcgis.com/yw4gqar8UPhNkPqY/arcgis/rest/services/D5_2_UA_Climate/FeatureServer" TargetMode="External"/><Relationship Id="rId230" Type="http://schemas.openxmlformats.org/officeDocument/2006/relationships/hyperlink" Target="https://www.gov.uk/government/publications/electricity-generation-costs-2023" TargetMode="External"/><Relationship Id="rId235" Type="http://schemas.openxmlformats.org/officeDocument/2006/relationships/hyperlink" Target="https://datahub.admiralty.co.uk/portal/home/item.html?id=bf77b2ac1b654efc95dc3665c0501e23" TargetMode="External"/><Relationship Id="rId251" Type="http://schemas.openxmlformats.org/officeDocument/2006/relationships/hyperlink" Target="https://land.copernicus.eu/en/products/urban-atlas/building-height-2012" TargetMode="External"/><Relationship Id="rId256" Type="http://schemas.openxmlformats.org/officeDocument/2006/relationships/hyperlink" Target="https://www.arcgis.com/home/item.html?id=ce98df93fb944b53a07c5f975c59a492" TargetMode="External"/><Relationship Id="rId25" Type="http://schemas.openxmlformats.org/officeDocument/2006/relationships/hyperlink" Target="https://admin.opendatani.gov.uk/dataset/priority-habitats-grassland/resource/f19df051-4aef-4f30-91c2-7969a34d49c4" TargetMode="External"/><Relationship Id="rId46" Type="http://schemas.openxmlformats.org/officeDocument/2006/relationships/hyperlink" Target="https://nienetworks.opendatasoft.com/explore/dataset/nie-networks-assets-primary-transformers/information/?disjunctive.voltage&amp;disjunctive.asset_type&amp;disjunctive.year_of_manufacture&amp;disjunctive.nominal_rating&amp;disjunctive.nominal_rating_unit_of_measurement&amp;disjunctive.rated_primary_voltage&amp;disjunctive.site_town_city&amp;disjunctive.site_county&amp;disjunctive.rated_primary_voltage_unit_of_measurement" TargetMode="External"/><Relationship Id="rId67" Type="http://schemas.openxmlformats.org/officeDocument/2006/relationships/hyperlink" Target="https://nienetworks.opendatasoft.com/explore/dataset/nie-networks-network-faults/information/?disjunctive.postcode" TargetMode="External"/><Relationship Id="rId116" Type="http://schemas.openxmlformats.org/officeDocument/2006/relationships/hyperlink" Target="https://www.arcgis.com/home/item.html?id=1e468410784c4b9a81f43af7f0f9b133" TargetMode="External"/><Relationship Id="rId137" Type="http://schemas.openxmlformats.org/officeDocument/2006/relationships/hyperlink" Target="https://gasdashboard.entsog.eu/" TargetMode="External"/><Relationship Id="rId158" Type="http://schemas.openxmlformats.org/officeDocument/2006/relationships/hyperlink" Target="https://www.soni.ltd.uk/grid/real-time-system-information" TargetMode="External"/><Relationship Id="rId20" Type="http://schemas.openxmlformats.org/officeDocument/2006/relationships/hyperlink" Target="https://services-eu1.arcgis.com/kswen6BYexuc1SUk/arcgis/rest/services/PriorityHabitatsFens/FeatureServer/0" TargetMode="External"/><Relationship Id="rId41" Type="http://schemas.openxmlformats.org/officeDocument/2006/relationships/hyperlink" Target="https://nienetworks.opendatasoft.com/explore/dataset/nie-networks-assets-lv-switchgear/information/?disjunctive.voltage&amp;disjunctive.year_of_manufacture&amp;disjunctive.rated_current&amp;disjunctive.rated_current_unit_of_measurement&amp;disjunctive.site_county&amp;disjunctive.asset_type&amp;disjunctive.site_town_city" TargetMode="External"/><Relationship Id="rId62" Type="http://schemas.openxmlformats.org/officeDocument/2006/relationships/hyperlink" Target="https://nienetworks.opendatasoft.com/explore/dataset/nie-networks-assets-transmission-transformers/information/?disjunctive.voltage&amp;disjunctive.asset_type&amp;disjunctive.year_of_manufacture&amp;disjunctive.nominal_rating&amp;disjunctive.nominal_rating_unit_of_measurement&amp;disjunctive.rated_primary_voltage&amp;disjunctive.rated_primary_current&amp;disjunctive.rated_secondary_current&amp;disjunctive.site_town_city&amp;disjunctive.site_county&amp;disjunctive.rated_primary_voltage_unit_of_measurement&amp;disjunctive.rated_secondary_current_unit_of_measurement" TargetMode="External"/><Relationship Id="rId83" Type="http://schemas.openxmlformats.org/officeDocument/2006/relationships/hyperlink" Target="https://experience.arcgis.com/experience/b8454f3d62164518817e4c581b5555c8/page/Data-Details---Coastal-Change-Information-Tool" TargetMode="External"/><Relationship Id="rId88" Type="http://schemas.openxmlformats.org/officeDocument/2006/relationships/hyperlink" Target="https://oreo-ni-oreoni.hub.arcgis.com/pages/open-source" TargetMode="External"/><Relationship Id="rId111" Type="http://schemas.openxmlformats.org/officeDocument/2006/relationships/hyperlink" Target="https://data.nisra.gov.uk/" TargetMode="External"/><Relationship Id="rId132" Type="http://schemas.openxmlformats.org/officeDocument/2006/relationships/hyperlink" Target="https://www.h2inframap.eu/" TargetMode="External"/><Relationship Id="rId153" Type="http://schemas.openxmlformats.org/officeDocument/2006/relationships/hyperlink" Target="https://admin.opendatani.gov.uk/dataset/7c00c1f5-6cd3-405d-b79e-61c19c4990b9/resource/d85d4090-77b1-4807-a551-b2849aeb2eaf/download/ni250kbedrockgeologypolygons.geojson" TargetMode="External"/><Relationship Id="rId174" Type="http://schemas.openxmlformats.org/officeDocument/2006/relationships/hyperlink" Target="https://www.arcgis.com/home/item.html?id=a6a1e8e95514413a90bbb2e40515fdb2" TargetMode="External"/><Relationship Id="rId179" Type="http://schemas.openxmlformats.org/officeDocument/2006/relationships/hyperlink" Target="https://s-eenergies-open-data-euf.hub.arcgis.com/datasets/3a639ec320884f30a6899385c1d2b9c5_0/about" TargetMode="External"/><Relationship Id="rId195" Type="http://schemas.openxmlformats.org/officeDocument/2006/relationships/hyperlink" Target="https://www.biogas-info.co.uk/wp-content/uploads/2024/06/Anaerobic-Digestion-Deployment-in-the-United-Kingdom-April-2024-Operational.xlsx" TargetMode="External"/><Relationship Id="rId209" Type="http://schemas.openxmlformats.org/officeDocument/2006/relationships/hyperlink" Target="https://s-eenergies-open-data-euf.hub.arcgis.com/datasets/d77ffb262f804487ad41c836505436ae_0/about" TargetMode="External"/><Relationship Id="rId190" Type="http://schemas.openxmlformats.org/officeDocument/2006/relationships/hyperlink" Target="https://ember-energy.org/data/european-wholesale-electricity-price-data/" TargetMode="External"/><Relationship Id="rId204" Type="http://schemas.openxmlformats.org/officeDocument/2006/relationships/hyperlink" Target="https://services1.arcgis.com/HpEsBWdtIcqCSe9e/arcgis/rest/services/D5_3_eroads_routes_buffers/FeatureServer" TargetMode="External"/><Relationship Id="rId220" Type="http://schemas.openxmlformats.org/officeDocument/2006/relationships/hyperlink" Target="https://www.xoserve.com/help-centre/supply-points-metering/supply-point-administration-spa/" TargetMode="External"/><Relationship Id="rId225" Type="http://schemas.openxmlformats.org/officeDocument/2006/relationships/hyperlink" Target="https://naei.energysecurity.gov.uk/sites/default/files/2024-12/NAEIPointsSources_2022_3.xlsx" TargetMode="External"/><Relationship Id="rId241" Type="http://schemas.openxmlformats.org/officeDocument/2006/relationships/hyperlink" Target="https://datahub.admiralty.co.uk/portal/home/item.html?id=bdd657dd218249dea3a0c5ac5ef880a4" TargetMode="External"/><Relationship Id="rId246" Type="http://schemas.openxmlformats.org/officeDocument/2006/relationships/hyperlink" Target="https://utility.arcgis.com/usrsvcs/servers/007f4845617e4df1babd58bcfe7d14e0/rest/services/Geology/MinesAndQuarries/MapServer?f=pjson" TargetMode="External"/><Relationship Id="rId15" Type="http://schemas.openxmlformats.org/officeDocument/2006/relationships/hyperlink" Target="https://admin.opendatani.gov.uk/dataset/historic-environment-division-esri-rest-api/resource/b27095e8-7765-4598-86a4-db356603d384" TargetMode="External"/><Relationship Id="rId36" Type="http://schemas.openxmlformats.org/officeDocument/2006/relationships/hyperlink" Target="https://nienetworks.opendatasoft.com/explore/dataset/nie-networks-assets-earthing-transformers/export/?disjunctive.voltage&amp;disjunctive.year_of_manufacture&amp;disjunctive.rated_secondary_voltage&amp;disjunctive.rated_primary_current&amp;disjunctive.site_town_city&amp;disjunctive.site_county&amp;disjunctive.asset_type&amp;disjunctive.rated_secondary_voltage_unit_of_measurement&amp;disjunctive.rated_primary_current_unit_of_measurement" TargetMode="External"/><Relationship Id="rId57" Type="http://schemas.openxmlformats.org/officeDocument/2006/relationships/hyperlink" Target="https://nienetworks.opendatasoft.com/explore/dataset/nie-networks-assets-sites-primary-substations/information/?disjunctive.site_type&amp;disjunctive.site_voltage&amp;disjunctive.site_town_city&amp;disjunctive.site_county" TargetMode="External"/><Relationship Id="rId106" Type="http://schemas.openxmlformats.org/officeDocument/2006/relationships/hyperlink" Target="https://services3.arcgis.com/HRuPlEcokYlz4mdz/arcgis/rest/services/Regional_CO2_Emissions_by_Year/FeatureServer" TargetMode="External"/><Relationship Id="rId127" Type="http://schemas.openxmlformats.org/officeDocument/2006/relationships/hyperlink" Target="https://better-open-data.com/" TargetMode="External"/><Relationship Id="rId262" Type="http://schemas.openxmlformats.org/officeDocument/2006/relationships/printerSettings" Target="../printerSettings/printerSettings3.bin"/><Relationship Id="rId10" Type="http://schemas.openxmlformats.org/officeDocument/2006/relationships/hyperlink" Target="https://www.nihe.gov.uk/working-with-us/research/house-condition-survey" TargetMode="External"/><Relationship Id="rId31" Type="http://schemas.openxmlformats.org/officeDocument/2006/relationships/hyperlink" Target="https://utility.arcgis.com/usrsvcs/servers/b2b08c2057c545c29cf8217a350bc545/rest/services/Environment/Forestry/MapServer/0" TargetMode="External"/><Relationship Id="rId52" Type="http://schemas.openxmlformats.org/officeDocument/2006/relationships/hyperlink" Target="https://nienetworks.opendatasoft.com/explore/dataset/nie-networks-assets-sites-grid-bulk-and-primary-sites/information/?disjunctive.dataset&amp;disjunctive.site_type&amp;disjunctive.site_voltage&amp;disjunctive.site_county" TargetMode="External"/><Relationship Id="rId73" Type="http://schemas.openxmlformats.org/officeDocument/2006/relationships/hyperlink" Target="https://tiles-eu1.arcgis.com/kswen6BYexuc1SUk/arcgis/rest/services/Satellite_Derived_Bathymetry_Updated/MapServer" TargetMode="External"/><Relationship Id="rId78" Type="http://schemas.openxmlformats.org/officeDocument/2006/relationships/hyperlink" Target="https://experience.arcgis.com/experience/b8454f3d62164518817e4c581b5555c8/page/Data-Details--NI-First-Order-Cells-Delineation" TargetMode="External"/><Relationship Id="rId94" Type="http://schemas.openxmlformats.org/officeDocument/2006/relationships/hyperlink" Target="https://admin.opendatani.gov.uk/dataset/areas-of-special-scientific-interest" TargetMode="External"/><Relationship Id="rId99" Type="http://schemas.openxmlformats.org/officeDocument/2006/relationships/hyperlink" Target="https://opendata-daerani.hub.arcgis.com/api/download/v1/items/9ede5d8bb1b540b4b75cf27a144ed465/shapefile?layers=0" TargetMode="External"/><Relationship Id="rId101" Type="http://schemas.openxmlformats.org/officeDocument/2006/relationships/hyperlink" Target="https://datazone.birdlife.org/country/factsheet/united-kingdom" TargetMode="External"/><Relationship Id="rId122" Type="http://schemas.openxmlformats.org/officeDocument/2006/relationships/hyperlink" Target="https://www.economy-ni.gov.uk/sites/default/files/2025-02/Enrolments%202223%20tables%20280225.xlsx" TargetMode="External"/><Relationship Id="rId143" Type="http://schemas.openxmlformats.org/officeDocument/2006/relationships/hyperlink" Target="https://www.gov.uk/government/statistics/sub-national-residual-fuel-consumption-2005-to-2022" TargetMode="External"/><Relationship Id="rId148" Type="http://schemas.openxmlformats.org/officeDocument/2006/relationships/hyperlink" Target="https://naei.energysecurity.gov.uk/reports/greenhouse-gas-inventories-england-scotland-wales-northern-ireland-1990-2022" TargetMode="External"/><Relationship Id="rId164" Type="http://schemas.openxmlformats.org/officeDocument/2006/relationships/hyperlink" Target="https://services7.arcgis.com/yw4gqar8UPhNkPqY/arcgis/rest/services/D5_1_District_Heating_Areas/FeatureServer" TargetMode="External"/><Relationship Id="rId169" Type="http://schemas.openxmlformats.org/officeDocument/2006/relationships/hyperlink" Target="https://portal.spatialni.gov.uk/portal/sharing/servers/da98177ad3274539a3f6dc9ef7def0d3/rest/services/OSNIOrthophotography/OSNIOrthophotography/MapServer" TargetMode="External"/><Relationship Id="rId185" Type="http://schemas.openxmlformats.org/officeDocument/2006/relationships/hyperlink" Target="https://s-eenergies-open-data-euf.hub.arcgis.com/datasets/cb700dd665b4448e9e04ef413d04c720_0/about" TargetMode="External"/><Relationship Id="rId4" Type="http://schemas.openxmlformats.org/officeDocument/2006/relationships/hyperlink" Target="https://www.gov.uk/government/statistics/regional-renewable-statistics" TargetMode="External"/><Relationship Id="rId9" Type="http://schemas.openxmlformats.org/officeDocument/2006/relationships/hyperlink" Target="https://www.gov.uk/government/statistical-data-sets/sub-national-domestic-electricity-consumption-statistics-in-northern-ireland" TargetMode="External"/><Relationship Id="rId180" Type="http://schemas.openxmlformats.org/officeDocument/2006/relationships/hyperlink" Target="https://services7.arcgis.com/yw4gqar8UPhNkPqY/arcgis/rest/services/D5_2_Urban_timeseries/FeatureServer" TargetMode="External"/><Relationship Id="rId210" Type="http://schemas.openxmlformats.org/officeDocument/2006/relationships/hyperlink" Target="https://services7.arcgis.com/yw4gqar8UPhNkPqY/arcgis/rest/services/D5_3_Industry_BAT_2015_Contour/FeatureServer" TargetMode="External"/><Relationship Id="rId215" Type="http://schemas.openxmlformats.org/officeDocument/2006/relationships/hyperlink" Target="https://s-eenergies-open-data-euf.hub.arcgis.com/datasets/2ee4ea0488ce4be988af3f966fe7d614_0/about" TargetMode="External"/><Relationship Id="rId236" Type="http://schemas.openxmlformats.org/officeDocument/2006/relationships/hyperlink" Target="https://datahub.admiralty.co.uk/portal/home/item.html?id=4dbf2ace22bf4f9785fb445d0593bc2c" TargetMode="External"/><Relationship Id="rId257" Type="http://schemas.openxmlformats.org/officeDocument/2006/relationships/hyperlink" Target="https://tiles.arcgis.com/tiles/yw4gqar8UPhNkPqY/arcgis/rest/services/Irish_HD_2015_5classes_v2/MapServer" TargetMode="External"/><Relationship Id="rId26" Type="http://schemas.openxmlformats.org/officeDocument/2006/relationships/hyperlink" Target="https://admin.opendatani.gov.uk/dataset/areas-of-outstanding-natural-beauty" TargetMode="External"/><Relationship Id="rId231" Type="http://schemas.openxmlformats.org/officeDocument/2006/relationships/hyperlink" Target="https://assets.publishing.service.gov.uk/media/6556027d046ed400148b99fe/electricity-generation-costs-2023.pdf" TargetMode="External"/><Relationship Id="rId252" Type="http://schemas.openxmlformats.org/officeDocument/2006/relationships/hyperlink" Target="https://www2.bgs.ac.uk/nationalgeosciencedatacentre/citedData/catalogue/f99a6179-0040-443c-aa3b-2f489814a368.html" TargetMode="External"/><Relationship Id="rId47" Type="http://schemas.openxmlformats.org/officeDocument/2006/relationships/hyperlink" Target="https://nienetworks.opendatasoft.com/explore/dataset/nie-networks-assets-primary-transformers/information/?disjunctive.voltage&amp;disjunctive.asset_type&amp;disjunctive.year_of_manufacture&amp;disjunctive.nominal_rating&amp;disjunctive.nominal_rating_unit_of_measurement&amp;disjunctive.rated_primary_voltage&amp;disjunctive.site_town_city&amp;disjunctive.site_county&amp;disjunctive.rated_primary_voltage_unit_of_measurement" TargetMode="External"/><Relationship Id="rId68" Type="http://schemas.openxmlformats.org/officeDocument/2006/relationships/hyperlink" Target="https://nienetworks.opendatasoft.com/explore/dataset/nienetworksassetsall/information/?disjunctive.voltage&amp;disjunctive.asset_type&amp;disjunctive.year_of_manufacture&amp;disjunctive.site_town&amp;disjunctive.site_county" TargetMode="External"/><Relationship Id="rId89" Type="http://schemas.openxmlformats.org/officeDocument/2006/relationships/hyperlink" Target="https://www.copernicus.eu/en/access-data" TargetMode="External"/><Relationship Id="rId112" Type="http://schemas.openxmlformats.org/officeDocument/2006/relationships/hyperlink" Target="https://data.nisra.gov.uk/" TargetMode="External"/><Relationship Id="rId133" Type="http://schemas.openxmlformats.org/officeDocument/2006/relationships/hyperlink" Target="https://www.entsog.eu/maps" TargetMode="External"/><Relationship Id="rId154" Type="http://schemas.openxmlformats.org/officeDocument/2006/relationships/hyperlink" Target="https://admin.opendatani.gov.uk/dataset/7c00c1f5-6cd3-405d-b79e-61c19c4990b9/resource/19b4e12e-0e00-4091-8419-0c744d72cb96/download/ni250ksuperficialgeologypolygons.geojson" TargetMode="External"/><Relationship Id="rId175" Type="http://schemas.openxmlformats.org/officeDocument/2006/relationships/hyperlink" Target="https://www.arcgis.com/home/item.html?id=80c1c15e1103479dac41281644d999d9" TargetMode="External"/><Relationship Id="rId196" Type="http://schemas.openxmlformats.org/officeDocument/2006/relationships/hyperlink" Target="https://www.biogas-info.co.uk/resources/biogas-map/" TargetMode="External"/><Relationship Id="rId200" Type="http://schemas.openxmlformats.org/officeDocument/2006/relationships/hyperlink" Target="https://services1.arcgis.com/HpEsBWdtIcqCSe9e/arcgis/rest/services/UA_Cycling/FeatureServer" TargetMode="External"/><Relationship Id="rId16" Type="http://schemas.openxmlformats.org/officeDocument/2006/relationships/hyperlink" Target="https://services-eu1.arcgis.com/kswen6BYexuc1SUk/arcgis/rest/services/PriorityHabitatsPeatland/FeatureServer/0" TargetMode="External"/><Relationship Id="rId221" Type="http://schemas.openxmlformats.org/officeDocument/2006/relationships/hyperlink" Target="https://www.gov.uk/guidance/find-and-use-data-on-public-electric-vehicle-chargepoints" TargetMode="External"/><Relationship Id="rId242" Type="http://schemas.openxmlformats.org/officeDocument/2006/relationships/hyperlink" Target="https://datahub.admiralty.co.uk/portal/home/item.html?id=e5556b5031ae41ad82c1b5d4b45a82d7" TargetMode="External"/><Relationship Id="rId263" Type="http://schemas.openxmlformats.org/officeDocument/2006/relationships/table" Target="../tables/table2.xml"/><Relationship Id="rId37" Type="http://schemas.openxmlformats.org/officeDocument/2006/relationships/hyperlink" Target="https://nienetworks.opendatasoft.com/explore/dataset/nie-networks-assets-earthing-transformers/export/?disjunctive.voltage&amp;disjunctive.year_of_manufacture&amp;disjunctive.rated_secondary_voltage&amp;disjunctive.rated_primary_current&amp;disjunctive.site_town_city&amp;disjunctive.site_county&amp;disjunctive.asset_type&amp;disjunctive.rated_secondary_voltage_unit_of_measurement&amp;disjunctive.rated_primary_current_unit_of_measurement" TargetMode="External"/><Relationship Id="rId58" Type="http://schemas.openxmlformats.org/officeDocument/2006/relationships/hyperlink" Target="https://nienetworks.opendatasoft.com/explore/dataset/nie-networks-assets-transmission-circuit-breakers/information/?disjunctive.voltage&amp;disjunctive.asset_type&amp;disjunctive.year_of_manufacture&amp;disjunctive.rated_voltage&amp;disjunctive.site_town_city&amp;disjunctive.site_county&amp;disjunctive.rated_voltage_unit_of_measurement&amp;disjunctive.rated_current&amp;disjunctive.rated_current_unit_of_measurement" TargetMode="External"/><Relationship Id="rId79" Type="http://schemas.openxmlformats.org/officeDocument/2006/relationships/hyperlink" Target="https://services-eu1.arcgis.com/kswen6BYexuc1SUk/arcgis/rest/services/NI_First_Order_Cells_Delineation/FeatureServer" TargetMode="External"/><Relationship Id="rId102" Type="http://schemas.openxmlformats.org/officeDocument/2006/relationships/hyperlink" Target="https://www.eea.europa.eu/data-and-maps/data/combined-effects-of-human-activities/combined-effects-of-human-activities/zip-gis-files-combined-effects-1" TargetMode="External"/><Relationship Id="rId123" Type="http://schemas.openxmlformats.org/officeDocument/2006/relationships/hyperlink" Target="https://www.economy-ni.gov.uk/publications/enrolments-uk-higher-education-institutions-northern-ireland-analysis-202223" TargetMode="External"/><Relationship Id="rId144" Type="http://schemas.openxmlformats.org/officeDocument/2006/relationships/hyperlink" Target="https://assets.publishing.service.gov.uk/media/66f3d45e68c3624d6176b94d/sub-national-residual-fuels-statistics-2005-2022.xlsx" TargetMode="External"/><Relationship Id="rId90" Type="http://schemas.openxmlformats.org/officeDocument/2006/relationships/hyperlink" Target="https://admin.opendatani.gov.uk/dataset/osni-open-data-largescale-boundaries-local-government-districts-2012" TargetMode="External"/><Relationship Id="rId165" Type="http://schemas.openxmlformats.org/officeDocument/2006/relationships/hyperlink" Target="https://www.renewables-atlas.info/downloads/" TargetMode="External"/><Relationship Id="rId186" Type="http://schemas.openxmlformats.org/officeDocument/2006/relationships/hyperlink" Target="https://services7.arcgis.com/yw4gqar8UPhNkPqY/arcgis/rest/services/D5_2_UA_centre_points/FeatureServer" TargetMode="External"/><Relationship Id="rId211" Type="http://schemas.openxmlformats.org/officeDocument/2006/relationships/hyperlink" Target="https://s-eenergies-open-data-euf.hub.arcgis.com/datasets/0112cafe790a45c09dc12c463f6a39fd_0/about" TargetMode="External"/><Relationship Id="rId232" Type="http://schemas.openxmlformats.org/officeDocument/2006/relationships/hyperlink" Target="https://admin.opendatani.gov.uk/dataset/northern-ireland-mineral-resources/resource/87be45a3-52b7-4724-8d62-859a5d4946e4" TargetMode="External"/><Relationship Id="rId253" Type="http://schemas.openxmlformats.org/officeDocument/2006/relationships/hyperlink" Target="https://webapps.bgs.ac.uk/services/ngdc/accessions/index.html" TargetMode="External"/><Relationship Id="rId27" Type="http://schemas.openxmlformats.org/officeDocument/2006/relationships/hyperlink" Target="https://admin.opendatani.gov.uk/dataset/areas-of-outstanding-natural-beauty/resource/162a2927-9d64-419b-ae65-4baab27dbbb0" TargetMode="External"/><Relationship Id="rId48" Type="http://schemas.openxmlformats.org/officeDocument/2006/relationships/hyperlink" Target="https://nienetworks.opendatasoft.com/explore/dataset/nie-networks-assets-secondary-transformers/information/?disjunctive.voltage&amp;disjunctive.year_of_manufacture&amp;disjunctive.nominal_rating&amp;disjunctive.nominal_rating_unit_of_measurement&amp;disjunctive.rated_primary_voltage&amp;disjunctive.site_town_city&amp;disjunctive.site_county&amp;disjunctive.asset_type&amp;disjunctive.rated_primary_voltage_unit_of_measurement" TargetMode="External"/><Relationship Id="rId69" Type="http://schemas.openxmlformats.org/officeDocument/2006/relationships/hyperlink" Target="https://nienetworks.opendatasoft.com/explore/dataset/nienetworksassetsall/information/?disjunctive.voltage&amp;disjunctive.asset_type&amp;disjunctive.year_of_manufacture&amp;disjunctive.site_town&amp;disjunctive.site_county" TargetMode="External"/><Relationship Id="rId113" Type="http://schemas.openxmlformats.org/officeDocument/2006/relationships/hyperlink" Target="https://data.nisra.gov.uk/table/COPC01T03" TargetMode="External"/><Relationship Id="rId134" Type="http://schemas.openxmlformats.org/officeDocument/2006/relationships/hyperlink" Target="https://www.entsog.eu/maps" TargetMode="External"/><Relationship Id="rId80" Type="http://schemas.openxmlformats.org/officeDocument/2006/relationships/hyperlink" Target="https://experience.arcgis.com/experience/b8454f3d62164518817e4c581b5555c8/page/Data-Details---Superficial-Geology" TargetMode="External"/><Relationship Id="rId155" Type="http://schemas.openxmlformats.org/officeDocument/2006/relationships/hyperlink" Target="https://www.opendatani.gov.uk/dataset/gsni-250k-geology" TargetMode="External"/><Relationship Id="rId176" Type="http://schemas.openxmlformats.org/officeDocument/2006/relationships/hyperlink" Target="https://services7.arcgis.com/yw4gqar8UPhNkPqY/arcgis/rest/services/UA_heat_demands_and_sources/FeatureServer" TargetMode="External"/><Relationship Id="rId197" Type="http://schemas.openxmlformats.org/officeDocument/2006/relationships/hyperlink" Target="https://s-eenergies-open-data-euf.hub.arcgis.com/datasets/1397de1cc4724d8398bd59cdd162e29a/explore" TargetMode="External"/><Relationship Id="rId201" Type="http://schemas.openxmlformats.org/officeDocument/2006/relationships/hyperlink" Target="https://s-eenergies-open-data-euf.hub.arcgis.com/datasets/aau::d5-3-eroads-routes/about" TargetMode="External"/><Relationship Id="rId222" Type="http://schemas.openxmlformats.org/officeDocument/2006/relationships/hyperlink" Target="https://datadashboard.mcscertified.com/InstallationInsights" TargetMode="External"/><Relationship Id="rId243" Type="http://schemas.openxmlformats.org/officeDocument/2006/relationships/hyperlink" Target="https://datahub.admiralty.co.uk/portal/home/item.html?id=e5556b5031ae41ad82c1b5d4b45a82d7" TargetMode="External"/><Relationship Id="rId17" Type="http://schemas.openxmlformats.org/officeDocument/2006/relationships/hyperlink" Target="https://admin.opendatani.gov.uk/dataset/priority-habitats-peatland/resource/8e54cfc9-06b1-424e-8cab-9e54c6e4fb0e" TargetMode="External"/><Relationship Id="rId38" Type="http://schemas.openxmlformats.org/officeDocument/2006/relationships/hyperlink" Target="https://nienetworks.opendatasoft.com/explore/dataset/nie-networks-assets-liquid-neutral-earthing-resistors-lners/information/?disjunctive.voltage&amp;disjunctive.year_of_manufacture&amp;disjunctive.site_town_city&amp;disjunctive.site_county&amp;disjunctive.asset_type" TargetMode="External"/><Relationship Id="rId59" Type="http://schemas.openxmlformats.org/officeDocument/2006/relationships/hyperlink" Target="https://nienetworks.opendatasoft.com/explore/dataset/nie-networks-assets-transmission-circuit-breakers/information/?disjunctive.voltage&amp;disjunctive.asset_type&amp;disjunctive.year_of_manufacture&amp;disjunctive.rated_voltage&amp;disjunctive.site_town_city&amp;disjunctive.site_county&amp;disjunctive.rated_voltage_unit_of_measurement&amp;disjunctive.rated_current&amp;disjunctive.rated_current_unit_of_measurement" TargetMode="External"/><Relationship Id="rId103" Type="http://schemas.openxmlformats.org/officeDocument/2006/relationships/hyperlink" Target="https://sdi.eea.europa.eu/catalogue/datahub/api/records/da908581-778e-4b3f-b1f4-1fbbd9642ffb/formatters/xsl-view?output=pdf&amp;language=eng&amp;approved=true" TargetMode="External"/><Relationship Id="rId124" Type="http://schemas.openxmlformats.org/officeDocument/2006/relationships/hyperlink" Target="https://github.com/openlandmap/GEDTM30" TargetMode="External"/><Relationship Id="rId70" Type="http://schemas.openxmlformats.org/officeDocument/2006/relationships/hyperlink" Target="https://experience.arcgis.com/experience/b8454f3d62164518817e4c581b5555c8/page/Data-Details---Topographic-LiDAR" TargetMode="External"/><Relationship Id="rId91" Type="http://schemas.openxmlformats.org/officeDocument/2006/relationships/hyperlink" Target="https://osni-spatialni.opendata.arcgis.com/api/download/v1/items/eaa08860c50045deb8c4fdc7fa3dac87/shapefile?layers=2" TargetMode="External"/><Relationship Id="rId145" Type="http://schemas.openxmlformats.org/officeDocument/2006/relationships/hyperlink" Target="https://www.gov.uk/government/collections/road-transport-consumption-at-regional-and-local-level" TargetMode="External"/><Relationship Id="rId166" Type="http://schemas.openxmlformats.org/officeDocument/2006/relationships/hyperlink" Target="https://www.renewables-atlas.info/user-guide/" TargetMode="External"/><Relationship Id="rId187" Type="http://schemas.openxmlformats.org/officeDocument/2006/relationships/hyperlink" Target="https://s-eenergies-open-data-euf.hub.arcgis.com/datasets/b1a490dc13ad4e4a97f86911b0077dd9_0/about" TargetMode="External"/></Relationships>
</file>

<file path=xl/worksheets/_rels/sheet8.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table" Target="../tables/table5.xml"/><Relationship Id="rId7" Type="http://schemas.openxmlformats.org/officeDocument/2006/relationships/table" Target="../tables/table9.xml"/><Relationship Id="rId2" Type="http://schemas.openxmlformats.org/officeDocument/2006/relationships/table" Target="../tables/table4.xml"/><Relationship Id="rId1" Type="http://schemas.openxmlformats.org/officeDocument/2006/relationships/table" Target="../tables/table3.xml"/><Relationship Id="rId6" Type="http://schemas.openxmlformats.org/officeDocument/2006/relationships/table" Target="../tables/table8.xml"/><Relationship Id="rId5" Type="http://schemas.openxmlformats.org/officeDocument/2006/relationships/table" Target="../tables/table7.xml"/><Relationship Id="rId10" Type="http://schemas.openxmlformats.org/officeDocument/2006/relationships/table" Target="../tables/table12.xml"/><Relationship Id="rId4" Type="http://schemas.openxmlformats.org/officeDocument/2006/relationships/table" Target="../tables/table6.xml"/><Relationship Id="rId9"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D7F92-AC4B-4007-9151-8FFF3D29144A}">
  <sheetPr codeName="Sheet1"/>
  <dimension ref="A1:W20"/>
  <sheetViews>
    <sheetView showGridLines="0" tabSelected="1" zoomScale="106" zoomScaleNormal="106" workbookViewId="0"/>
  </sheetViews>
  <sheetFormatPr defaultColWidth="9.1796875" defaultRowHeight="14.5" outlineLevelCol="1" x14ac:dyDescent="0.35"/>
  <cols>
    <col min="1" max="1" width="7.1796875" style="25" customWidth="1"/>
    <col min="2" max="2" width="30.1796875" style="25" hidden="1" customWidth="1" outlineLevel="1"/>
    <col min="3" max="3" width="22.7265625" customWidth="1" collapsed="1"/>
    <col min="4" max="4" width="8.1796875" customWidth="1"/>
    <col min="5" max="5" width="4.1796875" customWidth="1"/>
    <col min="8" max="8" width="9.1796875" customWidth="1"/>
    <col min="9" max="9" width="12.08984375" customWidth="1"/>
    <col min="11" max="11" width="9.1796875" customWidth="1"/>
  </cols>
  <sheetData>
    <row r="1" spans="1:23" ht="43.5" customHeight="1" x14ac:dyDescent="0.35">
      <c r="B1" s="38" t="e" vm="1">
        <v>#VALUE!</v>
      </c>
      <c r="C1" s="90" t="s">
        <v>525</v>
      </c>
      <c r="D1" s="90"/>
      <c r="E1" s="90"/>
      <c r="F1" s="90"/>
      <c r="G1" s="90"/>
      <c r="H1" s="90"/>
      <c r="I1" s="90"/>
      <c r="J1" s="90"/>
      <c r="K1" s="90"/>
      <c r="L1" s="90"/>
      <c r="M1" s="90"/>
      <c r="N1" s="90"/>
      <c r="O1" s="90"/>
      <c r="P1" s="90"/>
      <c r="Q1" s="90"/>
      <c r="R1" s="90"/>
      <c r="S1" s="90"/>
      <c r="T1" s="90"/>
      <c r="U1" s="90"/>
    </row>
    <row r="2" spans="1:23" ht="15" customHeight="1" x14ac:dyDescent="0.35">
      <c r="D2" s="70"/>
      <c r="E2" s="70"/>
      <c r="F2" s="70"/>
      <c r="G2" s="70"/>
      <c r="I2" s="91" t="s">
        <v>216</v>
      </c>
      <c r="J2" s="91"/>
      <c r="K2" s="91"/>
      <c r="L2" s="91"/>
      <c r="M2" s="91"/>
      <c r="N2" s="91"/>
    </row>
    <row r="3" spans="1:23" x14ac:dyDescent="0.35">
      <c r="D3" s="70"/>
      <c r="E3" s="70"/>
    </row>
    <row r="5" spans="1:23" ht="18.5" x14ac:dyDescent="0.45">
      <c r="A5" s="83"/>
      <c r="B5" s="85" t="s">
        <v>217</v>
      </c>
      <c r="C5" s="92" t="s">
        <v>124</v>
      </c>
      <c r="D5" s="92"/>
      <c r="E5" s="71"/>
      <c r="F5" s="92" t="s">
        <v>516</v>
      </c>
      <c r="G5" s="92"/>
      <c r="H5" s="92"/>
      <c r="I5" s="92"/>
      <c r="J5" s="92"/>
      <c r="L5" s="93" t="s">
        <v>481</v>
      </c>
      <c r="M5" s="93"/>
      <c r="N5" s="93"/>
      <c r="O5" s="93"/>
      <c r="P5" s="93"/>
      <c r="Q5" s="93"/>
      <c r="R5" s="93"/>
      <c r="S5" s="93"/>
      <c r="T5" s="93"/>
    </row>
    <row r="6" spans="1:23" ht="14.5" customHeight="1" x14ac:dyDescent="0.35">
      <c r="A6" s="83"/>
      <c r="B6" s="85"/>
      <c r="C6" s="87" t="s">
        <v>517</v>
      </c>
      <c r="D6" s="87"/>
      <c r="E6" s="68"/>
      <c r="F6" s="87" t="s">
        <v>513</v>
      </c>
      <c r="G6" s="87"/>
      <c r="H6" s="87"/>
      <c r="I6" s="87"/>
      <c r="J6" s="87"/>
      <c r="K6" s="69"/>
      <c r="L6" s="87" t="s">
        <v>543</v>
      </c>
      <c r="M6" s="87"/>
      <c r="N6" s="87"/>
      <c r="O6" s="87"/>
      <c r="P6" s="87"/>
      <c r="Q6" s="87"/>
      <c r="R6" s="87"/>
      <c r="S6" s="87"/>
      <c r="T6" s="87"/>
    </row>
    <row r="7" spans="1:23" ht="18" customHeight="1" x14ac:dyDescent="0.35">
      <c r="B7" s="26"/>
      <c r="C7" s="87"/>
      <c r="D7" s="87"/>
      <c r="E7" s="68"/>
      <c r="F7" s="87"/>
      <c r="G7" s="87"/>
      <c r="H7" s="87"/>
      <c r="I7" s="87"/>
      <c r="J7" s="87"/>
      <c r="K7" s="69"/>
      <c r="L7" s="87"/>
      <c r="M7" s="87"/>
      <c r="N7" s="87"/>
      <c r="O7" s="87"/>
      <c r="P7" s="87"/>
      <c r="Q7" s="87"/>
      <c r="R7" s="87"/>
      <c r="S7" s="87"/>
      <c r="T7" s="87"/>
    </row>
    <row r="8" spans="1:23" ht="16.5" customHeight="1" x14ac:dyDescent="0.35">
      <c r="A8" s="84"/>
      <c r="B8" s="86" t="s">
        <v>515</v>
      </c>
      <c r="C8" s="87"/>
      <c r="D8" s="87"/>
      <c r="E8" s="68"/>
      <c r="F8" s="87"/>
      <c r="G8" s="87"/>
      <c r="H8" s="87"/>
      <c r="I8" s="87"/>
      <c r="J8" s="87"/>
      <c r="K8" s="69"/>
      <c r="L8" s="93" t="s">
        <v>571</v>
      </c>
      <c r="M8" s="93"/>
      <c r="N8" s="93"/>
      <c r="O8" s="93"/>
      <c r="P8" s="93"/>
      <c r="Q8" s="93"/>
      <c r="R8" s="93"/>
      <c r="S8" s="93"/>
      <c r="T8" s="93"/>
      <c r="W8" s="74"/>
    </row>
    <row r="9" spans="1:23" ht="19.5" customHeight="1" x14ac:dyDescent="0.35">
      <c r="A9" s="84"/>
      <c r="B9" s="86"/>
      <c r="C9" s="87"/>
      <c r="D9" s="87"/>
      <c r="E9" s="68"/>
      <c r="F9" s="87"/>
      <c r="G9" s="87"/>
      <c r="H9" s="87"/>
      <c r="I9" s="87"/>
      <c r="J9" s="87"/>
      <c r="K9" s="69"/>
      <c r="L9" s="94" t="s">
        <v>550</v>
      </c>
      <c r="M9" s="94"/>
      <c r="N9" s="94"/>
      <c r="O9" s="94"/>
      <c r="P9" s="94"/>
      <c r="Q9" s="94"/>
      <c r="R9" s="94"/>
      <c r="S9" s="94"/>
      <c r="T9" s="94"/>
    </row>
    <row r="10" spans="1:23" ht="18.5" x14ac:dyDescent="0.35">
      <c r="C10" s="87"/>
      <c r="D10" s="87"/>
      <c r="E10" s="68"/>
      <c r="F10" s="87"/>
      <c r="G10" s="87"/>
      <c r="H10" s="87"/>
      <c r="I10" s="87"/>
      <c r="J10" s="87"/>
      <c r="K10" s="69"/>
      <c r="L10" s="93" t="s">
        <v>542</v>
      </c>
      <c r="M10" s="93"/>
      <c r="N10" s="93"/>
      <c r="O10" s="93"/>
      <c r="P10" s="93"/>
      <c r="Q10" s="93"/>
      <c r="R10" s="93"/>
      <c r="S10" s="93"/>
      <c r="T10" s="93"/>
    </row>
    <row r="11" spans="1:23" ht="14.5" customHeight="1" x14ac:dyDescent="0.35">
      <c r="A11" s="84"/>
      <c r="B11" s="86" t="s">
        <v>219</v>
      </c>
      <c r="C11" s="87"/>
      <c r="D11" s="87"/>
      <c r="E11" s="68"/>
      <c r="F11" s="87"/>
      <c r="G11" s="87"/>
      <c r="H11" s="87"/>
      <c r="I11" s="87"/>
      <c r="J11" s="87"/>
      <c r="L11" s="95" t="s">
        <v>529</v>
      </c>
      <c r="M11" s="95"/>
      <c r="N11" s="95"/>
      <c r="O11" s="95"/>
      <c r="P11" s="95"/>
      <c r="Q11" s="95"/>
      <c r="R11" s="95"/>
      <c r="S11" s="95"/>
      <c r="T11" s="95"/>
    </row>
    <row r="12" spans="1:23" ht="14.5" customHeight="1" x14ac:dyDescent="0.35">
      <c r="A12" s="84"/>
      <c r="B12" s="86"/>
      <c r="C12" s="87"/>
      <c r="D12" s="87"/>
      <c r="E12" s="68"/>
      <c r="F12" s="87" t="s">
        <v>514</v>
      </c>
      <c r="G12" s="87"/>
      <c r="H12" s="87"/>
      <c r="I12" s="87"/>
      <c r="J12" s="87"/>
      <c r="L12" s="89" t="s">
        <v>377</v>
      </c>
      <c r="M12" s="89"/>
      <c r="N12" s="89"/>
      <c r="O12" s="89"/>
      <c r="P12" s="89"/>
      <c r="Q12" s="89"/>
      <c r="R12" s="89"/>
      <c r="S12" s="89"/>
      <c r="T12" s="89"/>
    </row>
    <row r="13" spans="1:23" ht="14.5" customHeight="1" x14ac:dyDescent="0.35">
      <c r="C13" s="87"/>
      <c r="D13" s="87"/>
      <c r="E13" s="68"/>
      <c r="F13" s="87"/>
      <c r="G13" s="87"/>
      <c r="H13" s="87"/>
      <c r="I13" s="87"/>
      <c r="J13" s="87"/>
      <c r="L13" s="89"/>
      <c r="M13" s="89"/>
      <c r="N13" s="89"/>
      <c r="O13" s="89"/>
      <c r="P13" s="89"/>
      <c r="Q13" s="89"/>
      <c r="R13" s="89"/>
      <c r="S13" s="89"/>
      <c r="T13" s="89"/>
    </row>
    <row r="14" spans="1:23" ht="13.5" customHeight="1" x14ac:dyDescent="0.35">
      <c r="B14" s="86" t="s">
        <v>544</v>
      </c>
      <c r="C14" s="87"/>
      <c r="D14" s="87"/>
      <c r="E14" s="68"/>
      <c r="F14" s="87"/>
      <c r="G14" s="87"/>
      <c r="H14" s="87"/>
      <c r="I14" s="87"/>
      <c r="J14" s="87"/>
      <c r="L14" s="89"/>
      <c r="M14" s="89"/>
      <c r="N14" s="89"/>
      <c r="O14" s="89"/>
      <c r="P14" s="89"/>
      <c r="Q14" s="89"/>
      <c r="R14" s="89"/>
      <c r="S14" s="89"/>
      <c r="T14" s="89"/>
    </row>
    <row r="15" spans="1:23" x14ac:dyDescent="0.35">
      <c r="B15" s="86"/>
      <c r="C15" s="87"/>
      <c r="D15" s="87"/>
      <c r="E15" s="68"/>
      <c r="F15" s="87"/>
      <c r="G15" s="87"/>
      <c r="H15" s="87"/>
      <c r="I15" s="87"/>
      <c r="J15" s="87"/>
      <c r="L15" s="88"/>
      <c r="M15" s="88"/>
      <c r="N15" s="88"/>
      <c r="O15" s="88"/>
      <c r="P15" s="88"/>
      <c r="Q15" s="88"/>
      <c r="R15" s="88"/>
      <c r="S15" s="88"/>
      <c r="T15" s="88"/>
      <c r="V15" s="72"/>
    </row>
    <row r="16" spans="1:23" x14ac:dyDescent="0.35">
      <c r="C16" s="87"/>
      <c r="D16" s="87"/>
      <c r="E16" s="68"/>
      <c r="F16" s="69"/>
      <c r="G16" s="69"/>
      <c r="H16" s="69"/>
      <c r="I16" s="69"/>
      <c r="J16" s="69"/>
      <c r="L16" s="88"/>
      <c r="M16" s="88"/>
      <c r="N16" s="88"/>
      <c r="O16" s="88"/>
      <c r="P16" s="88"/>
      <c r="Q16" s="88"/>
      <c r="R16" s="88"/>
      <c r="S16" s="88"/>
      <c r="T16" s="88"/>
    </row>
    <row r="17" spans="3:20" x14ac:dyDescent="0.35">
      <c r="C17" s="69"/>
      <c r="D17" s="69"/>
      <c r="E17" s="69"/>
      <c r="F17" s="69"/>
      <c r="G17" s="69"/>
      <c r="H17" s="69"/>
      <c r="I17" s="69"/>
      <c r="J17" s="69"/>
      <c r="L17" s="88"/>
      <c r="M17" s="88"/>
      <c r="N17" s="88"/>
      <c r="O17" s="88"/>
      <c r="P17" s="88"/>
      <c r="Q17" s="88"/>
      <c r="R17" s="88"/>
      <c r="S17" s="88"/>
      <c r="T17" s="88"/>
    </row>
    <row r="18" spans="3:20" x14ac:dyDescent="0.35">
      <c r="C18" s="73"/>
      <c r="F18" s="69"/>
      <c r="G18" s="69"/>
      <c r="H18" s="69"/>
      <c r="I18" s="69"/>
      <c r="J18" s="69"/>
      <c r="L18" s="88"/>
      <c r="M18" s="88"/>
      <c r="N18" s="88"/>
      <c r="O18" s="88"/>
      <c r="P18" s="88"/>
      <c r="Q18" s="88"/>
      <c r="R18" s="88"/>
      <c r="S18" s="88"/>
      <c r="T18" s="88"/>
    </row>
    <row r="19" spans="3:20" x14ac:dyDescent="0.35">
      <c r="F19" s="69"/>
      <c r="G19" s="69"/>
      <c r="H19" s="69"/>
      <c r="I19" s="69"/>
      <c r="J19" s="69"/>
      <c r="L19" s="82"/>
      <c r="M19" s="82"/>
      <c r="N19" s="82"/>
      <c r="O19" s="82"/>
      <c r="P19" s="82"/>
      <c r="Q19" s="82"/>
      <c r="R19" s="82"/>
      <c r="S19" s="82"/>
      <c r="T19" s="82"/>
    </row>
    <row r="20" spans="3:20" x14ac:dyDescent="0.35">
      <c r="F20" s="69"/>
      <c r="G20" s="69"/>
      <c r="H20" s="69"/>
      <c r="I20" s="69"/>
      <c r="J20" s="69"/>
      <c r="L20" s="82"/>
      <c r="M20" s="82"/>
      <c r="N20" s="82"/>
      <c r="O20" s="82"/>
      <c r="P20" s="82"/>
      <c r="Q20" s="82"/>
      <c r="R20" s="82"/>
      <c r="S20" s="82"/>
      <c r="T20" s="82"/>
    </row>
  </sheetData>
  <mergeCells count="25">
    <mergeCell ref="C1:U1"/>
    <mergeCell ref="I2:N2"/>
    <mergeCell ref="F6:J11"/>
    <mergeCell ref="C5:D5"/>
    <mergeCell ref="F5:J5"/>
    <mergeCell ref="L6:T7"/>
    <mergeCell ref="L5:T5"/>
    <mergeCell ref="L8:T8"/>
    <mergeCell ref="L9:T9"/>
    <mergeCell ref="L10:T10"/>
    <mergeCell ref="L11:T11"/>
    <mergeCell ref="L20:T20"/>
    <mergeCell ref="A5:A6"/>
    <mergeCell ref="A8:A9"/>
    <mergeCell ref="A11:A12"/>
    <mergeCell ref="B5:B6"/>
    <mergeCell ref="B8:B9"/>
    <mergeCell ref="B11:B12"/>
    <mergeCell ref="C6:D16"/>
    <mergeCell ref="B14:B15"/>
    <mergeCell ref="F12:J15"/>
    <mergeCell ref="L15:T16"/>
    <mergeCell ref="L17:T18"/>
    <mergeCell ref="L19:T19"/>
    <mergeCell ref="L12:T14"/>
  </mergeCells>
  <hyperlinks>
    <hyperlink ref="B5:B6" location="Overview!A1" display="1. Overview" xr:uid="{F758AE46-B065-41B9-8B18-18F27A79E35E}"/>
    <hyperlink ref="B8:B9" location="'Submission Form '!A1" display="2. Research Submission" xr:uid="{3C1BD715-4EE5-425A-9841-9F1E6D5365D9}"/>
    <hyperlink ref="B11:B12" location="'Master Dataset'!A1" display="3. Master Dataset" xr:uid="{9C83B75D-731E-4752-8506-9195ECAB3332}"/>
    <hyperlink ref="B14:B15" location="'Field Dictionary'!A1" display="4. Field Dictionary" xr:uid="{860F0B0C-6040-45EE-B327-C9EB219A8944}"/>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03D85-08B7-4630-A672-A60800B3CA9A}">
  <sheetPr codeName="Sheet2"/>
  <dimension ref="A1:P117"/>
  <sheetViews>
    <sheetView showGridLines="0" zoomScale="124" zoomScaleNormal="124" workbookViewId="0">
      <pane xSplit="2" topLeftCell="C1" activePane="topRight" state="frozen"/>
      <selection pane="topRight" activeCell="C7" sqref="C7"/>
    </sheetView>
  </sheetViews>
  <sheetFormatPr defaultRowHeight="14.5" outlineLevelCol="1" x14ac:dyDescent="0.35"/>
  <cols>
    <col min="1" max="1" width="7.1796875" style="25" customWidth="1"/>
    <col min="2" max="2" width="30.1796875" style="25" hidden="1" customWidth="1" outlineLevel="1"/>
    <col min="3" max="3" width="154.7265625" bestFit="1" customWidth="1" collapsed="1"/>
    <col min="4" max="4" width="7" bestFit="1" customWidth="1"/>
  </cols>
  <sheetData>
    <row r="1" spans="1:16" x14ac:dyDescent="0.35">
      <c r="B1" s="97"/>
      <c r="E1" s="21"/>
      <c r="F1" s="21"/>
      <c r="G1" s="21"/>
      <c r="H1" s="21"/>
      <c r="I1" s="21"/>
      <c r="J1" s="21"/>
      <c r="K1" s="21"/>
      <c r="L1" s="21"/>
      <c r="M1" s="21"/>
      <c r="N1" s="21"/>
      <c r="O1" s="21"/>
      <c r="P1" s="21"/>
    </row>
    <row r="2" spans="1:16" x14ac:dyDescent="0.35">
      <c r="B2" s="97"/>
      <c r="C2" s="20" t="s">
        <v>32</v>
      </c>
      <c r="D2" s="21" t="s">
        <v>107</v>
      </c>
      <c r="E2" s="21"/>
      <c r="F2" s="21"/>
      <c r="G2" s="21"/>
      <c r="H2" s="21"/>
      <c r="I2" s="21"/>
      <c r="J2" s="21"/>
      <c r="K2" s="21"/>
      <c r="L2" s="21"/>
      <c r="M2" s="21"/>
      <c r="N2" s="21"/>
      <c r="O2" s="21"/>
      <c r="P2" s="21"/>
    </row>
    <row r="3" spans="1:16" x14ac:dyDescent="0.35">
      <c r="B3" s="97"/>
      <c r="C3" s="20" t="s">
        <v>2</v>
      </c>
      <c r="D3" s="21" t="s">
        <v>107</v>
      </c>
      <c r="E3" s="21"/>
      <c r="F3" s="21"/>
      <c r="G3" s="21"/>
      <c r="H3" s="21"/>
      <c r="I3" s="21"/>
      <c r="J3" s="21"/>
      <c r="K3" s="21"/>
      <c r="L3" s="21"/>
      <c r="M3" s="21"/>
      <c r="N3" s="21"/>
      <c r="O3" s="21"/>
      <c r="P3" s="21"/>
    </row>
    <row r="4" spans="1:16" x14ac:dyDescent="0.35">
      <c r="C4" s="20" t="s">
        <v>0</v>
      </c>
      <c r="D4" s="21" t="s">
        <v>107</v>
      </c>
      <c r="E4" s="21"/>
      <c r="F4" s="21"/>
      <c r="G4" s="21"/>
      <c r="H4" s="21"/>
      <c r="I4" s="21"/>
      <c r="J4" s="21"/>
      <c r="K4" s="21"/>
      <c r="L4" s="21"/>
      <c r="M4" s="21"/>
      <c r="N4" s="21"/>
      <c r="O4" s="21"/>
      <c r="P4" s="21"/>
    </row>
    <row r="5" spans="1:16" x14ac:dyDescent="0.35">
      <c r="A5" s="84"/>
      <c r="B5" s="96" t="s">
        <v>217</v>
      </c>
      <c r="C5" s="20" t="s">
        <v>138</v>
      </c>
      <c r="D5" s="21" t="s">
        <v>107</v>
      </c>
      <c r="E5" s="21"/>
      <c r="F5" s="21"/>
      <c r="G5" s="21"/>
      <c r="H5" s="21"/>
      <c r="I5" s="21"/>
      <c r="J5" s="21"/>
      <c r="K5" s="21"/>
      <c r="L5" s="21"/>
      <c r="M5" s="21"/>
      <c r="N5" s="21"/>
      <c r="O5" s="21"/>
      <c r="P5" s="21"/>
    </row>
    <row r="6" spans="1:16" x14ac:dyDescent="0.35">
      <c r="A6" s="84"/>
      <c r="B6" s="96"/>
      <c r="D6" s="21"/>
      <c r="E6" s="21"/>
      <c r="F6" s="21"/>
      <c r="G6" s="21"/>
      <c r="H6" s="21"/>
      <c r="I6" s="21"/>
      <c r="J6" s="21"/>
      <c r="K6" s="21"/>
      <c r="L6" s="21"/>
      <c r="M6" s="21"/>
      <c r="N6" s="21"/>
      <c r="O6" s="21"/>
      <c r="P6" s="21"/>
    </row>
    <row r="7" spans="1:16" ht="23.5" x14ac:dyDescent="0.35">
      <c r="B7" s="26"/>
      <c r="C7" s="20" t="s">
        <v>105</v>
      </c>
      <c r="D7" s="21"/>
      <c r="E7" s="21"/>
      <c r="F7" s="21"/>
      <c r="G7" s="21"/>
      <c r="H7" s="21"/>
      <c r="I7" s="21"/>
      <c r="J7" s="21"/>
      <c r="K7" s="21"/>
      <c r="L7" s="21"/>
      <c r="M7" s="21"/>
      <c r="N7" s="21"/>
      <c r="O7" s="21"/>
      <c r="P7" s="21"/>
    </row>
    <row r="8" spans="1:16" x14ac:dyDescent="0.35">
      <c r="A8" s="83"/>
      <c r="B8" s="98" t="s">
        <v>218</v>
      </c>
      <c r="C8" s="22" t="s">
        <v>100</v>
      </c>
      <c r="D8" s="21"/>
      <c r="E8" s="21"/>
      <c r="F8" s="21"/>
      <c r="G8" s="21"/>
      <c r="H8" s="21"/>
      <c r="I8" s="21"/>
      <c r="J8" s="21"/>
      <c r="K8" s="21"/>
      <c r="L8" s="21"/>
      <c r="M8" s="21"/>
      <c r="N8" s="21"/>
      <c r="O8" s="21"/>
      <c r="P8" s="21"/>
    </row>
    <row r="9" spans="1:16" x14ac:dyDescent="0.35">
      <c r="A9" s="83"/>
      <c r="B9" s="98"/>
      <c r="C9" s="22" t="s">
        <v>103</v>
      </c>
      <c r="D9" s="21"/>
      <c r="E9" s="21"/>
      <c r="F9" s="21"/>
      <c r="G9" s="21"/>
      <c r="H9" s="21"/>
      <c r="I9" s="21"/>
      <c r="J9" s="21"/>
      <c r="K9" s="21"/>
      <c r="L9" s="21"/>
      <c r="M9" s="21"/>
      <c r="N9" s="21"/>
      <c r="O9" s="21"/>
      <c r="P9" s="21"/>
    </row>
    <row r="10" spans="1:16" x14ac:dyDescent="0.35">
      <c r="C10" s="22" t="s">
        <v>94</v>
      </c>
      <c r="D10" s="21"/>
      <c r="E10" s="21"/>
      <c r="F10" s="21"/>
      <c r="G10" s="21"/>
      <c r="H10" s="21"/>
      <c r="I10" s="21"/>
      <c r="J10" s="21"/>
      <c r="K10" s="21"/>
      <c r="L10" s="21"/>
      <c r="M10" s="21"/>
      <c r="N10" s="21"/>
      <c r="O10" s="21"/>
      <c r="P10" s="21"/>
    </row>
    <row r="11" spans="1:16" x14ac:dyDescent="0.35">
      <c r="A11" s="84"/>
      <c r="B11" s="96" t="s">
        <v>219</v>
      </c>
      <c r="C11" s="22" t="s">
        <v>104</v>
      </c>
      <c r="D11" s="21"/>
      <c r="E11" s="21"/>
      <c r="F11" s="21"/>
      <c r="G11" s="21"/>
      <c r="H11" s="21"/>
      <c r="I11" s="21"/>
      <c r="J11" s="21"/>
      <c r="K11" s="21"/>
      <c r="L11" s="21"/>
      <c r="M11" s="21"/>
      <c r="N11" s="21"/>
      <c r="O11" s="21"/>
      <c r="P11" s="21"/>
    </row>
    <row r="12" spans="1:16" x14ac:dyDescent="0.35">
      <c r="A12" s="84"/>
      <c r="B12" s="96"/>
      <c r="C12" s="22" t="s">
        <v>99</v>
      </c>
      <c r="D12" s="21"/>
      <c r="E12" s="21"/>
      <c r="F12" s="21"/>
      <c r="G12" s="21"/>
      <c r="H12" s="21"/>
      <c r="I12" s="21"/>
      <c r="J12" s="21"/>
      <c r="K12" s="21"/>
      <c r="L12" s="21"/>
      <c r="M12" s="21"/>
      <c r="N12" s="21"/>
      <c r="O12" s="21"/>
      <c r="P12" s="21"/>
    </row>
    <row r="13" spans="1:16" x14ac:dyDescent="0.35">
      <c r="C13" s="22" t="s">
        <v>98</v>
      </c>
      <c r="D13" s="21"/>
      <c r="E13" s="21"/>
      <c r="F13" s="21"/>
      <c r="G13" s="21"/>
      <c r="H13" s="21"/>
      <c r="I13" s="21"/>
      <c r="J13" s="21"/>
      <c r="K13" s="21"/>
      <c r="L13" s="21"/>
      <c r="M13" s="21"/>
      <c r="N13" s="21"/>
      <c r="O13" s="21"/>
      <c r="P13" s="21"/>
    </row>
    <row r="14" spans="1:16" x14ac:dyDescent="0.35">
      <c r="C14" s="22" t="s">
        <v>97</v>
      </c>
      <c r="D14" s="21"/>
      <c r="E14" s="21"/>
      <c r="F14" s="21"/>
      <c r="G14" s="21"/>
      <c r="H14" s="21"/>
      <c r="I14" s="21"/>
      <c r="J14" s="21"/>
      <c r="K14" s="21"/>
      <c r="L14" s="21"/>
      <c r="M14" s="21"/>
      <c r="N14" s="21"/>
      <c r="O14" s="21"/>
      <c r="P14" s="21"/>
    </row>
    <row r="15" spans="1:16" x14ac:dyDescent="0.35">
      <c r="C15" s="22" t="s">
        <v>96</v>
      </c>
      <c r="D15" s="21"/>
      <c r="E15" s="21"/>
      <c r="F15" s="21"/>
      <c r="G15" s="21"/>
      <c r="H15" s="21"/>
      <c r="I15" s="21"/>
      <c r="J15" s="21"/>
      <c r="K15" s="21"/>
      <c r="L15" s="21"/>
      <c r="M15" s="21"/>
      <c r="N15" s="21"/>
      <c r="O15" s="21"/>
      <c r="P15" s="21"/>
    </row>
    <row r="16" spans="1:16" x14ac:dyDescent="0.35">
      <c r="C16" s="22" t="s">
        <v>80</v>
      </c>
      <c r="D16" s="21"/>
      <c r="E16" s="21"/>
      <c r="F16" s="21"/>
      <c r="G16" s="21"/>
      <c r="H16" s="21"/>
      <c r="I16" s="21"/>
      <c r="J16" s="21"/>
      <c r="K16" s="21"/>
      <c r="L16" s="21"/>
      <c r="M16" s="21"/>
      <c r="N16" s="21"/>
      <c r="O16" s="21"/>
      <c r="P16" s="21"/>
    </row>
    <row r="17" spans="3:16" x14ac:dyDescent="0.35">
      <c r="C17" s="22" t="s">
        <v>78</v>
      </c>
      <c r="D17" s="21"/>
      <c r="E17" s="21"/>
      <c r="F17" s="21"/>
      <c r="G17" s="21"/>
      <c r="H17" s="21"/>
      <c r="I17" s="21"/>
      <c r="J17" s="21"/>
      <c r="K17" s="21"/>
      <c r="L17" s="21"/>
      <c r="M17" s="21"/>
      <c r="N17" s="21"/>
      <c r="O17" s="21"/>
      <c r="P17" s="21"/>
    </row>
    <row r="18" spans="3:16" x14ac:dyDescent="0.35">
      <c r="C18" s="22" t="s">
        <v>108</v>
      </c>
      <c r="D18" s="21"/>
      <c r="E18" s="21"/>
      <c r="F18" s="21"/>
      <c r="G18" s="21"/>
      <c r="H18" s="21"/>
      <c r="I18" s="21"/>
      <c r="J18" s="21"/>
      <c r="K18" s="21"/>
      <c r="L18" s="21"/>
      <c r="M18" s="21"/>
      <c r="N18" s="21"/>
      <c r="O18" s="21"/>
      <c r="P18" s="21"/>
    </row>
    <row r="19" spans="3:16" x14ac:dyDescent="0.35">
      <c r="C19" s="22" t="s">
        <v>110</v>
      </c>
      <c r="D19" s="21"/>
      <c r="E19" s="21"/>
      <c r="F19" s="21"/>
      <c r="G19" s="21"/>
      <c r="H19" s="21"/>
      <c r="I19" s="21"/>
      <c r="J19" s="21"/>
      <c r="K19" s="21"/>
      <c r="L19" s="21"/>
      <c r="M19" s="21"/>
      <c r="N19" s="21"/>
      <c r="O19" s="21"/>
      <c r="P19" s="21"/>
    </row>
    <row r="20" spans="3:16" x14ac:dyDescent="0.35">
      <c r="C20" s="22" t="s">
        <v>113</v>
      </c>
      <c r="D20" s="21"/>
      <c r="E20" s="21"/>
      <c r="F20" s="21"/>
      <c r="G20" s="21"/>
      <c r="H20" s="21"/>
      <c r="I20" s="21"/>
      <c r="J20" s="21"/>
      <c r="K20" s="21"/>
      <c r="L20" s="21"/>
      <c r="M20" s="21"/>
      <c r="N20" s="21"/>
      <c r="O20" s="21"/>
      <c r="P20" s="21"/>
    </row>
    <row r="21" spans="3:16" x14ac:dyDescent="0.35">
      <c r="C21" s="22" t="s">
        <v>116</v>
      </c>
      <c r="D21" s="21"/>
      <c r="E21" s="21"/>
      <c r="F21" s="21"/>
      <c r="G21" s="21"/>
      <c r="H21" s="21"/>
      <c r="I21" s="21"/>
      <c r="J21" s="21"/>
      <c r="K21" s="21"/>
      <c r="L21" s="21"/>
      <c r="M21" s="21"/>
      <c r="N21" s="21"/>
      <c r="O21" s="21"/>
      <c r="P21" s="21"/>
    </row>
    <row r="22" spans="3:16" x14ac:dyDescent="0.35">
      <c r="C22" s="22" t="s">
        <v>119</v>
      </c>
      <c r="D22" s="21"/>
      <c r="E22" s="21"/>
      <c r="F22" s="21"/>
      <c r="G22" s="21"/>
      <c r="H22" s="21"/>
      <c r="I22" s="21"/>
      <c r="J22" s="21"/>
      <c r="K22" s="21"/>
      <c r="L22" s="21"/>
      <c r="M22" s="21"/>
      <c r="N22" s="21"/>
      <c r="O22" s="21"/>
      <c r="P22" s="21"/>
    </row>
    <row r="23" spans="3:16" x14ac:dyDescent="0.35">
      <c r="C23" s="22" t="s">
        <v>121</v>
      </c>
      <c r="D23" s="21"/>
      <c r="E23" s="21"/>
      <c r="F23" s="21"/>
      <c r="G23" s="21"/>
      <c r="H23" s="21"/>
      <c r="I23" s="21"/>
      <c r="J23" s="21"/>
      <c r="K23" s="21"/>
      <c r="L23" s="21"/>
      <c r="M23" s="21"/>
      <c r="N23" s="21"/>
      <c r="O23" s="21"/>
      <c r="P23" s="21"/>
    </row>
    <row r="24" spans="3:16" x14ac:dyDescent="0.35">
      <c r="C24" s="22" t="s">
        <v>127</v>
      </c>
      <c r="D24" s="21"/>
      <c r="E24" s="21"/>
      <c r="F24" s="21"/>
      <c r="G24" s="21"/>
      <c r="H24" s="21"/>
      <c r="I24" s="21"/>
      <c r="J24" s="21"/>
      <c r="K24" s="21"/>
      <c r="L24" s="21"/>
      <c r="M24" s="21"/>
      <c r="N24" s="21"/>
      <c r="O24" s="21"/>
      <c r="P24" s="21"/>
    </row>
    <row r="25" spans="3:16" x14ac:dyDescent="0.35">
      <c r="C25" s="22" t="s">
        <v>129</v>
      </c>
      <c r="D25" s="21"/>
      <c r="E25" s="21"/>
      <c r="F25" s="21"/>
      <c r="G25" s="21"/>
      <c r="H25" s="21"/>
      <c r="I25" s="21"/>
      <c r="J25" s="21"/>
      <c r="K25" s="21"/>
      <c r="L25" s="21"/>
      <c r="M25" s="21"/>
      <c r="N25" s="21"/>
      <c r="O25" s="21"/>
      <c r="P25" s="21"/>
    </row>
    <row r="26" spans="3:16" x14ac:dyDescent="0.35">
      <c r="C26" s="22" t="s">
        <v>131</v>
      </c>
      <c r="D26" s="21"/>
      <c r="E26" s="21"/>
      <c r="F26" s="21"/>
      <c r="G26" s="21"/>
      <c r="H26" s="21"/>
      <c r="I26" s="21"/>
      <c r="J26" s="21"/>
      <c r="K26" s="21"/>
      <c r="L26" s="21"/>
      <c r="M26" s="21"/>
      <c r="N26" s="21"/>
      <c r="O26" s="21"/>
      <c r="P26" s="21"/>
    </row>
    <row r="27" spans="3:16" x14ac:dyDescent="0.35">
      <c r="C27" s="22" t="s">
        <v>132</v>
      </c>
      <c r="D27" s="21"/>
      <c r="E27" s="21"/>
      <c r="F27" s="21"/>
      <c r="G27" s="21"/>
      <c r="H27" s="21"/>
      <c r="I27" s="21"/>
      <c r="J27" s="21"/>
      <c r="K27" s="21"/>
      <c r="L27" s="21"/>
      <c r="M27" s="21"/>
      <c r="N27" s="21"/>
      <c r="O27" s="21"/>
      <c r="P27" s="21"/>
    </row>
    <row r="28" spans="3:16" x14ac:dyDescent="0.35">
      <c r="C28" s="22" t="s">
        <v>133</v>
      </c>
      <c r="D28" s="21"/>
      <c r="E28" s="21"/>
      <c r="F28" s="21"/>
      <c r="G28" s="21"/>
      <c r="H28" s="21"/>
      <c r="I28" s="21"/>
      <c r="J28" s="21"/>
      <c r="K28" s="21"/>
      <c r="L28" s="21"/>
      <c r="M28" s="21"/>
      <c r="N28" s="21"/>
      <c r="O28" s="21"/>
      <c r="P28" s="21"/>
    </row>
    <row r="29" spans="3:16" x14ac:dyDescent="0.35">
      <c r="C29" s="22" t="s">
        <v>134</v>
      </c>
      <c r="D29" s="21"/>
      <c r="E29" s="21"/>
      <c r="F29" s="21"/>
      <c r="G29" s="21"/>
      <c r="H29" s="21"/>
      <c r="I29" s="21"/>
      <c r="J29" s="21"/>
      <c r="K29" s="21"/>
      <c r="L29" s="21"/>
      <c r="M29" s="21"/>
      <c r="N29" s="21"/>
      <c r="O29" s="21"/>
      <c r="P29" s="21"/>
    </row>
    <row r="30" spans="3:16" x14ac:dyDescent="0.35">
      <c r="C30" s="22" t="s">
        <v>136</v>
      </c>
      <c r="D30" s="21"/>
      <c r="E30" s="21"/>
      <c r="F30" s="21"/>
      <c r="G30" s="21"/>
      <c r="H30" s="21"/>
      <c r="I30" s="21"/>
      <c r="J30" s="21"/>
      <c r="K30" s="21"/>
      <c r="L30" s="21"/>
      <c r="M30" s="21"/>
      <c r="N30" s="21"/>
      <c r="O30" s="21"/>
      <c r="P30" s="21"/>
    </row>
    <row r="31" spans="3:16" x14ac:dyDescent="0.35">
      <c r="C31" s="22" t="s">
        <v>140</v>
      </c>
      <c r="D31" s="21"/>
      <c r="E31" s="21"/>
      <c r="F31" s="21"/>
      <c r="G31" s="21"/>
      <c r="H31" s="21"/>
      <c r="I31" s="21"/>
      <c r="J31" s="21"/>
      <c r="K31" s="21"/>
      <c r="L31" s="21"/>
      <c r="M31" s="21"/>
      <c r="N31" s="21"/>
      <c r="O31" s="21"/>
      <c r="P31" s="21"/>
    </row>
    <row r="32" spans="3:16" x14ac:dyDescent="0.35">
      <c r="C32" s="22" t="s">
        <v>141</v>
      </c>
      <c r="D32" s="21"/>
      <c r="E32" s="21"/>
      <c r="F32" s="21"/>
      <c r="G32" s="21"/>
      <c r="H32" s="21"/>
      <c r="I32" s="21"/>
      <c r="J32" s="21"/>
      <c r="K32" s="21"/>
      <c r="L32" s="21"/>
      <c r="M32" s="21"/>
      <c r="N32" s="21"/>
      <c r="O32" s="21"/>
      <c r="P32" s="21"/>
    </row>
    <row r="33" spans="3:16" x14ac:dyDescent="0.35">
      <c r="C33" s="22" t="s">
        <v>142</v>
      </c>
      <c r="D33" s="21"/>
      <c r="E33" s="21"/>
      <c r="F33" s="21"/>
      <c r="G33" s="21"/>
      <c r="H33" s="21"/>
      <c r="I33" s="21"/>
      <c r="J33" s="21"/>
      <c r="K33" s="21"/>
      <c r="L33" s="21"/>
      <c r="M33" s="21"/>
      <c r="N33" s="21"/>
      <c r="O33" s="21"/>
      <c r="P33" s="21"/>
    </row>
    <row r="34" spans="3:16" x14ac:dyDescent="0.35">
      <c r="C34" s="22" t="s">
        <v>143</v>
      </c>
      <c r="D34" s="21"/>
      <c r="E34" s="21"/>
      <c r="F34" s="21"/>
      <c r="G34" s="21"/>
      <c r="H34" s="21"/>
      <c r="I34" s="21"/>
      <c r="J34" s="21"/>
      <c r="K34" s="21"/>
      <c r="L34" s="21"/>
      <c r="M34" s="21"/>
      <c r="N34" s="21"/>
      <c r="O34" s="21"/>
      <c r="P34" s="21"/>
    </row>
    <row r="35" spans="3:16" x14ac:dyDescent="0.35">
      <c r="C35" s="22" t="s">
        <v>144</v>
      </c>
      <c r="D35" s="21"/>
      <c r="E35" s="21"/>
      <c r="F35" s="21"/>
      <c r="G35" s="21"/>
      <c r="H35" s="21"/>
      <c r="I35" s="21"/>
      <c r="J35" s="21"/>
      <c r="K35" s="21"/>
      <c r="L35" s="21"/>
      <c r="M35" s="21"/>
      <c r="N35" s="21"/>
      <c r="O35" s="21"/>
      <c r="P35" s="21"/>
    </row>
    <row r="36" spans="3:16" x14ac:dyDescent="0.35">
      <c r="C36" s="22" t="s">
        <v>145</v>
      </c>
      <c r="D36" s="21"/>
      <c r="E36" s="21"/>
      <c r="F36" s="21"/>
      <c r="G36" s="21"/>
      <c r="H36" s="21"/>
      <c r="I36" s="21"/>
      <c r="J36" s="21"/>
      <c r="K36" s="21"/>
      <c r="L36" s="21"/>
      <c r="M36" s="21"/>
      <c r="N36" s="21"/>
      <c r="O36" s="21"/>
      <c r="P36" s="21"/>
    </row>
    <row r="37" spans="3:16" x14ac:dyDescent="0.35">
      <c r="C37" s="22" t="s">
        <v>146</v>
      </c>
      <c r="D37" s="21"/>
      <c r="E37" s="21"/>
      <c r="F37" s="21"/>
      <c r="G37" s="21"/>
      <c r="H37" s="21"/>
      <c r="I37" s="21"/>
      <c r="J37" s="21"/>
      <c r="K37" s="21"/>
      <c r="L37" s="21"/>
      <c r="M37" s="21"/>
      <c r="N37" s="21"/>
      <c r="O37" s="21"/>
      <c r="P37" s="21"/>
    </row>
    <row r="38" spans="3:16" x14ac:dyDescent="0.35">
      <c r="C38" s="22" t="s">
        <v>147</v>
      </c>
    </row>
    <row r="39" spans="3:16" x14ac:dyDescent="0.35">
      <c r="C39" s="22" t="s">
        <v>148</v>
      </c>
    </row>
    <row r="40" spans="3:16" x14ac:dyDescent="0.35">
      <c r="C40" s="22" t="s">
        <v>149</v>
      </c>
    </row>
    <row r="41" spans="3:16" x14ac:dyDescent="0.35">
      <c r="C41" s="22" t="s">
        <v>150</v>
      </c>
    </row>
    <row r="42" spans="3:16" x14ac:dyDescent="0.35">
      <c r="C42" s="22" t="s">
        <v>151</v>
      </c>
    </row>
    <row r="43" spans="3:16" x14ac:dyDescent="0.35">
      <c r="C43" s="22" t="s">
        <v>152</v>
      </c>
    </row>
    <row r="44" spans="3:16" x14ac:dyDescent="0.35">
      <c r="C44" s="22" t="s">
        <v>153</v>
      </c>
    </row>
    <row r="45" spans="3:16" x14ac:dyDescent="0.35">
      <c r="C45" s="22" t="s">
        <v>154</v>
      </c>
    </row>
    <row r="46" spans="3:16" x14ac:dyDescent="0.35">
      <c r="C46" s="22" t="s">
        <v>155</v>
      </c>
    </row>
    <row r="47" spans="3:16" x14ac:dyDescent="0.35">
      <c r="C47" s="22" t="s">
        <v>156</v>
      </c>
    </row>
    <row r="48" spans="3:16" x14ac:dyDescent="0.35">
      <c r="C48" s="22" t="s">
        <v>157</v>
      </c>
    </row>
    <row r="49" spans="3:3" x14ac:dyDescent="0.35">
      <c r="C49" s="22" t="s">
        <v>158</v>
      </c>
    </row>
    <row r="50" spans="3:3" x14ac:dyDescent="0.35">
      <c r="C50" s="22" t="s">
        <v>159</v>
      </c>
    </row>
    <row r="51" spans="3:3" x14ac:dyDescent="0.35">
      <c r="C51" s="22" t="s">
        <v>164</v>
      </c>
    </row>
    <row r="52" spans="3:3" x14ac:dyDescent="0.35">
      <c r="C52" s="22" t="s">
        <v>166</v>
      </c>
    </row>
    <row r="53" spans="3:3" x14ac:dyDescent="0.35">
      <c r="C53" s="22" t="s">
        <v>167</v>
      </c>
    </row>
    <row r="54" spans="3:3" x14ac:dyDescent="0.35">
      <c r="C54" s="22" t="s">
        <v>168</v>
      </c>
    </row>
    <row r="55" spans="3:3" x14ac:dyDescent="0.35">
      <c r="C55" s="22" t="s">
        <v>169</v>
      </c>
    </row>
    <row r="56" spans="3:3" x14ac:dyDescent="0.35">
      <c r="C56" s="22" t="s">
        <v>170</v>
      </c>
    </row>
    <row r="57" spans="3:3" x14ac:dyDescent="0.35">
      <c r="C57" s="22" t="s">
        <v>190</v>
      </c>
    </row>
    <row r="58" spans="3:3" x14ac:dyDescent="0.35">
      <c r="C58" s="22" t="s">
        <v>192</v>
      </c>
    </row>
    <row r="59" spans="3:3" x14ac:dyDescent="0.35">
      <c r="C59" s="22" t="s">
        <v>191</v>
      </c>
    </row>
    <row r="60" spans="3:3" x14ac:dyDescent="0.35">
      <c r="C60" s="22" t="s">
        <v>171</v>
      </c>
    </row>
    <row r="61" spans="3:3" x14ac:dyDescent="0.35">
      <c r="C61" s="22" t="s">
        <v>172</v>
      </c>
    </row>
    <row r="62" spans="3:3" x14ac:dyDescent="0.35">
      <c r="C62" s="22" t="s">
        <v>173</v>
      </c>
    </row>
    <row r="63" spans="3:3" x14ac:dyDescent="0.35">
      <c r="C63" s="22" t="s">
        <v>174</v>
      </c>
    </row>
    <row r="64" spans="3:3" x14ac:dyDescent="0.35">
      <c r="C64" s="22" t="s">
        <v>175</v>
      </c>
    </row>
    <row r="65" spans="3:3" x14ac:dyDescent="0.35">
      <c r="C65" s="22" t="s">
        <v>176</v>
      </c>
    </row>
    <row r="66" spans="3:3" x14ac:dyDescent="0.35">
      <c r="C66" s="22" t="s">
        <v>177</v>
      </c>
    </row>
    <row r="67" spans="3:3" x14ac:dyDescent="0.35">
      <c r="C67" s="22" t="s">
        <v>178</v>
      </c>
    </row>
    <row r="68" spans="3:3" x14ac:dyDescent="0.35">
      <c r="C68" s="22" t="s">
        <v>179</v>
      </c>
    </row>
    <row r="69" spans="3:3" x14ac:dyDescent="0.35">
      <c r="C69" s="22" t="s">
        <v>181</v>
      </c>
    </row>
    <row r="70" spans="3:3" x14ac:dyDescent="0.35">
      <c r="C70" s="22" t="s">
        <v>182</v>
      </c>
    </row>
    <row r="71" spans="3:3" x14ac:dyDescent="0.35">
      <c r="C71" s="22" t="s">
        <v>184</v>
      </c>
    </row>
    <row r="72" spans="3:3" x14ac:dyDescent="0.35">
      <c r="C72" s="22" t="s">
        <v>187</v>
      </c>
    </row>
    <row r="73" spans="3:3" x14ac:dyDescent="0.35">
      <c r="C73" s="22" t="s">
        <v>189</v>
      </c>
    </row>
    <row r="74" spans="3:3" x14ac:dyDescent="0.35">
      <c r="C74" s="22" t="s">
        <v>193</v>
      </c>
    </row>
    <row r="75" spans="3:3" x14ac:dyDescent="0.35">
      <c r="C75" s="22" t="s">
        <v>194</v>
      </c>
    </row>
    <row r="76" spans="3:3" x14ac:dyDescent="0.35">
      <c r="C76" s="22" t="s">
        <v>195</v>
      </c>
    </row>
    <row r="77" spans="3:3" x14ac:dyDescent="0.35">
      <c r="C77" s="22" t="s">
        <v>196</v>
      </c>
    </row>
    <row r="78" spans="3:3" x14ac:dyDescent="0.35">
      <c r="C78" s="22" t="s">
        <v>197</v>
      </c>
    </row>
    <row r="79" spans="3:3" x14ac:dyDescent="0.35">
      <c r="C79" s="22" t="s">
        <v>199</v>
      </c>
    </row>
    <row r="80" spans="3:3" x14ac:dyDescent="0.35">
      <c r="C80" s="22" t="s">
        <v>202</v>
      </c>
    </row>
    <row r="81" spans="3:3" x14ac:dyDescent="0.35">
      <c r="C81" s="22" t="s">
        <v>206</v>
      </c>
    </row>
    <row r="82" spans="3:3" x14ac:dyDescent="0.35">
      <c r="C82" s="22" t="s">
        <v>205</v>
      </c>
    </row>
    <row r="83" spans="3:3" x14ac:dyDescent="0.35">
      <c r="C83" s="22" t="s">
        <v>208</v>
      </c>
    </row>
    <row r="84" spans="3:3" x14ac:dyDescent="0.35">
      <c r="C84" s="22" t="s">
        <v>214</v>
      </c>
    </row>
    <row r="85" spans="3:3" x14ac:dyDescent="0.35">
      <c r="C85" s="22" t="s">
        <v>211</v>
      </c>
    </row>
    <row r="86" spans="3:3" x14ac:dyDescent="0.35">
      <c r="C86" s="22" t="s">
        <v>212</v>
      </c>
    </row>
    <row r="87" spans="3:3" x14ac:dyDescent="0.35">
      <c r="C87" s="22" t="s">
        <v>213</v>
      </c>
    </row>
    <row r="88" spans="3:3" x14ac:dyDescent="0.35">
      <c r="C88" s="22" t="s">
        <v>234</v>
      </c>
    </row>
    <row r="89" spans="3:3" x14ac:dyDescent="0.35">
      <c r="C89" s="22" t="s">
        <v>236</v>
      </c>
    </row>
    <row r="90" spans="3:3" x14ac:dyDescent="0.35">
      <c r="C90" s="22" t="s">
        <v>237</v>
      </c>
    </row>
    <row r="91" spans="3:3" x14ac:dyDescent="0.35">
      <c r="C91" s="22" t="s">
        <v>238</v>
      </c>
    </row>
    <row r="92" spans="3:3" x14ac:dyDescent="0.35">
      <c r="C92" s="22" t="s">
        <v>239</v>
      </c>
    </row>
    <row r="93" spans="3:3" x14ac:dyDescent="0.35">
      <c r="C93" s="22" t="s">
        <v>240</v>
      </c>
    </row>
    <row r="94" spans="3:3" x14ac:dyDescent="0.35">
      <c r="C94" s="22" t="s">
        <v>241</v>
      </c>
    </row>
    <row r="95" spans="3:3" x14ac:dyDescent="0.35">
      <c r="C95" s="22" t="s">
        <v>330</v>
      </c>
    </row>
    <row r="96" spans="3:3" x14ac:dyDescent="0.35">
      <c r="C96" s="22" t="s">
        <v>331</v>
      </c>
    </row>
    <row r="97" spans="3:3" x14ac:dyDescent="0.35">
      <c r="C97" s="22" t="s">
        <v>333</v>
      </c>
    </row>
    <row r="98" spans="3:3" x14ac:dyDescent="0.35">
      <c r="C98" s="22" t="s">
        <v>335</v>
      </c>
    </row>
    <row r="99" spans="3:3" x14ac:dyDescent="0.35">
      <c r="C99" s="22" t="s">
        <v>336</v>
      </c>
    </row>
    <row r="100" spans="3:3" x14ac:dyDescent="0.35">
      <c r="C100" s="22" t="s">
        <v>338</v>
      </c>
    </row>
    <row r="101" spans="3:3" x14ac:dyDescent="0.35">
      <c r="C101" s="22" t="s">
        <v>339</v>
      </c>
    </row>
    <row r="102" spans="3:3" x14ac:dyDescent="0.35">
      <c r="C102" s="22" t="s">
        <v>342</v>
      </c>
    </row>
    <row r="103" spans="3:3" x14ac:dyDescent="0.35">
      <c r="C103" s="22" t="s">
        <v>344</v>
      </c>
    </row>
    <row r="104" spans="3:3" x14ac:dyDescent="0.35">
      <c r="C104" s="22" t="s">
        <v>345</v>
      </c>
    </row>
    <row r="105" spans="3:3" x14ac:dyDescent="0.35">
      <c r="C105" s="22" t="s">
        <v>346</v>
      </c>
    </row>
    <row r="106" spans="3:3" x14ac:dyDescent="0.35">
      <c r="C106" s="22" t="s">
        <v>348</v>
      </c>
    </row>
    <row r="107" spans="3:3" x14ac:dyDescent="0.35">
      <c r="C107" s="22" t="s">
        <v>349</v>
      </c>
    </row>
    <row r="108" spans="3:3" x14ac:dyDescent="0.35">
      <c r="C108" s="22" t="s">
        <v>351</v>
      </c>
    </row>
    <row r="109" spans="3:3" x14ac:dyDescent="0.35">
      <c r="C109" s="22" t="s">
        <v>352</v>
      </c>
    </row>
    <row r="110" spans="3:3" x14ac:dyDescent="0.35">
      <c r="C110" s="22" t="s">
        <v>353</v>
      </c>
    </row>
    <row r="111" spans="3:3" x14ac:dyDescent="0.35">
      <c r="C111" s="22" t="s">
        <v>355</v>
      </c>
    </row>
    <row r="112" spans="3:3" x14ac:dyDescent="0.35">
      <c r="C112" s="22" t="s">
        <v>364</v>
      </c>
    </row>
    <row r="113" spans="3:3" x14ac:dyDescent="0.35">
      <c r="C113" s="22" t="s">
        <v>356</v>
      </c>
    </row>
    <row r="114" spans="3:3" x14ac:dyDescent="0.35">
      <c r="C114" s="22" t="s">
        <v>358</v>
      </c>
    </row>
    <row r="115" spans="3:3" x14ac:dyDescent="0.35">
      <c r="C115" s="22" t="s">
        <v>359</v>
      </c>
    </row>
    <row r="116" spans="3:3" x14ac:dyDescent="0.35">
      <c r="C116" s="22" t="s">
        <v>361</v>
      </c>
    </row>
    <row r="117" spans="3:3" x14ac:dyDescent="0.35">
      <c r="C117" s="22" t="s">
        <v>106</v>
      </c>
    </row>
  </sheetData>
  <mergeCells count="7">
    <mergeCell ref="A11:A12"/>
    <mergeCell ref="B11:B12"/>
    <mergeCell ref="B1:B3"/>
    <mergeCell ref="A5:A6"/>
    <mergeCell ref="B5:B6"/>
    <mergeCell ref="A8:A9"/>
    <mergeCell ref="B8:B9"/>
  </mergeCells>
  <hyperlinks>
    <hyperlink ref="B5:B6" location="Overview!A1" display="1. Overview" xr:uid="{E6A4C6D2-0ED0-4DDA-88A9-DB1D937A311A}"/>
    <hyperlink ref="B8:B9" location="'Summary Table'!A1" display="2. Summary Tables" xr:uid="{2A14D641-F1B5-4535-94DC-36D7BE0D58B0}"/>
    <hyperlink ref="B11:B12" location="'Master Dataset'!A1" display="3. Master Dataset" xr:uid="{39C557AD-3FAE-4F72-9C3D-448CA70EA314}"/>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F50FD-F4C9-459E-8798-EEF438DC49AA}">
  <sheetPr codeName="Sheet7"/>
  <dimension ref="B1:N116"/>
  <sheetViews>
    <sheetView topLeftCell="A35" zoomScale="88" workbookViewId="0">
      <selection activeCell="B43" sqref="B43"/>
    </sheetView>
  </sheetViews>
  <sheetFormatPr defaultColWidth="8.7265625" defaultRowHeight="14.5" x14ac:dyDescent="0.35"/>
  <cols>
    <col min="1" max="1" width="3.453125" style="38" customWidth="1"/>
    <col min="2" max="2" width="15.81640625" style="38" customWidth="1"/>
    <col min="3" max="3" width="25.453125" style="38" customWidth="1"/>
    <col min="4" max="4" width="21.453125" style="38" customWidth="1"/>
    <col min="5" max="5" width="21.81640625" style="38" customWidth="1"/>
    <col min="6" max="6" width="17.1796875" style="38" customWidth="1"/>
    <col min="7" max="7" width="18.453125" style="38" customWidth="1"/>
    <col min="8" max="8" width="5.7265625" style="66" customWidth="1"/>
    <col min="9" max="16384" width="8.7265625" style="38"/>
  </cols>
  <sheetData>
    <row r="1" spans="2:10" ht="37" x14ac:dyDescent="0.35">
      <c r="B1" s="110" t="s">
        <v>510</v>
      </c>
      <c r="C1" s="111"/>
      <c r="D1" s="111"/>
      <c r="E1" s="111"/>
      <c r="F1" s="111"/>
      <c r="G1" s="111"/>
      <c r="H1" s="60"/>
      <c r="I1" s="57"/>
      <c r="J1" s="56"/>
    </row>
    <row r="2" spans="2:10" x14ac:dyDescent="0.35">
      <c r="B2" s="58"/>
      <c r="C2" s="58"/>
      <c r="D2" s="58"/>
      <c r="E2" s="58"/>
      <c r="F2" s="58"/>
      <c r="G2" s="58"/>
      <c r="H2" s="58"/>
    </row>
    <row r="3" spans="2:10" x14ac:dyDescent="0.35">
      <c r="B3" s="108" t="s">
        <v>519</v>
      </c>
      <c r="C3" s="108"/>
      <c r="D3" s="108"/>
      <c r="E3" s="108"/>
      <c r="F3" s="108"/>
      <c r="G3" s="108"/>
      <c r="H3" s="58"/>
    </row>
    <row r="4" spans="2:10" x14ac:dyDescent="0.35">
      <c r="B4" s="108"/>
      <c r="C4" s="108"/>
      <c r="D4" s="108"/>
      <c r="E4" s="108"/>
      <c r="F4" s="108"/>
      <c r="G4" s="108"/>
      <c r="H4" s="58"/>
    </row>
    <row r="5" spans="2:10" x14ac:dyDescent="0.35">
      <c r="B5" s="108"/>
      <c r="C5" s="108"/>
      <c r="D5" s="108"/>
      <c r="E5" s="108"/>
      <c r="F5" s="108"/>
      <c r="G5" s="108"/>
      <c r="H5" s="58"/>
    </row>
    <row r="6" spans="2:10" x14ac:dyDescent="0.35">
      <c r="B6" s="108"/>
      <c r="C6" s="108"/>
      <c r="D6" s="108"/>
      <c r="E6" s="108"/>
      <c r="F6" s="108"/>
      <c r="G6" s="108"/>
      <c r="H6" s="58"/>
    </row>
    <row r="7" spans="2:10" x14ac:dyDescent="0.35">
      <c r="B7" s="108" t="s">
        <v>514</v>
      </c>
      <c r="C7" s="108"/>
      <c r="D7" s="108"/>
      <c r="E7" s="108"/>
      <c r="F7" s="108"/>
      <c r="G7" s="108"/>
      <c r="H7" s="58"/>
    </row>
    <row r="8" spans="2:10" x14ac:dyDescent="0.35">
      <c r="B8" s="108"/>
      <c r="C8" s="108"/>
      <c r="D8" s="108"/>
      <c r="E8" s="108"/>
      <c r="F8" s="108"/>
      <c r="G8" s="108"/>
      <c r="H8" s="58"/>
    </row>
    <row r="9" spans="2:10" x14ac:dyDescent="0.35">
      <c r="B9" s="58"/>
      <c r="C9" s="58"/>
      <c r="D9" s="58"/>
      <c r="E9" s="58"/>
      <c r="F9" s="58"/>
      <c r="G9" s="58"/>
      <c r="H9" s="58"/>
    </row>
    <row r="10" spans="2:10" x14ac:dyDescent="0.35">
      <c r="B10" s="59" t="s">
        <v>526</v>
      </c>
      <c r="C10" s="59"/>
      <c r="D10" s="58"/>
      <c r="E10" s="58"/>
      <c r="F10" s="58"/>
      <c r="G10" s="58"/>
      <c r="H10" s="58"/>
    </row>
    <row r="11" spans="2:10" ht="20.149999999999999" customHeight="1" x14ac:dyDescent="0.35">
      <c r="B11" s="67" t="s">
        <v>41</v>
      </c>
      <c r="C11" s="67"/>
      <c r="D11" s="58"/>
      <c r="E11" s="58"/>
      <c r="F11" s="58"/>
      <c r="G11" s="58"/>
      <c r="H11" s="58"/>
    </row>
    <row r="12" spans="2:10" x14ac:dyDescent="0.35">
      <c r="B12" s="67" t="s">
        <v>482</v>
      </c>
      <c r="C12" s="67"/>
      <c r="D12" s="58"/>
      <c r="E12" s="58"/>
      <c r="F12" s="58"/>
      <c r="G12" s="58"/>
      <c r="H12" s="58"/>
    </row>
    <row r="13" spans="2:10" x14ac:dyDescent="0.35">
      <c r="B13" s="67" t="s">
        <v>483</v>
      </c>
      <c r="C13" s="67"/>
      <c r="D13" s="58"/>
      <c r="E13" s="58"/>
      <c r="F13" s="58"/>
      <c r="G13" s="58"/>
      <c r="H13" s="58"/>
    </row>
    <row r="14" spans="2:10" x14ac:dyDescent="0.35">
      <c r="B14" s="58"/>
      <c r="C14" s="58"/>
      <c r="D14" s="58"/>
      <c r="E14" s="58"/>
      <c r="F14" s="58"/>
      <c r="G14" s="58"/>
      <c r="H14" s="58"/>
    </row>
    <row r="15" spans="2:10" x14ac:dyDescent="0.35">
      <c r="B15" s="59"/>
      <c r="C15" s="58"/>
      <c r="D15" s="58"/>
      <c r="E15" s="58"/>
      <c r="F15" s="58"/>
      <c r="G15" s="58"/>
      <c r="H15" s="58"/>
    </row>
    <row r="16" spans="2:10" x14ac:dyDescent="0.35">
      <c r="B16" s="59" t="s">
        <v>487</v>
      </c>
      <c r="C16" s="58"/>
      <c r="D16" s="58"/>
      <c r="E16" s="58"/>
      <c r="F16" s="58"/>
      <c r="G16" s="58"/>
      <c r="H16" s="58"/>
    </row>
    <row r="17" spans="2:8" x14ac:dyDescent="0.35">
      <c r="B17" s="114"/>
      <c r="C17" s="115"/>
      <c r="D17" s="115"/>
      <c r="E17" s="115"/>
      <c r="F17" s="115"/>
      <c r="G17" s="116"/>
      <c r="H17" s="58"/>
    </row>
    <row r="18" spans="2:8" x14ac:dyDescent="0.35">
      <c r="B18" s="117"/>
      <c r="C18" s="118"/>
      <c r="D18" s="118"/>
      <c r="E18" s="118"/>
      <c r="F18" s="118"/>
      <c r="G18" s="119"/>
      <c r="H18" s="58"/>
    </row>
    <row r="19" spans="2:8" x14ac:dyDescent="0.35">
      <c r="B19" s="117"/>
      <c r="C19" s="118"/>
      <c r="D19" s="118"/>
      <c r="E19" s="118"/>
      <c r="F19" s="118"/>
      <c r="G19" s="119"/>
      <c r="H19" s="58"/>
    </row>
    <row r="20" spans="2:8" x14ac:dyDescent="0.35">
      <c r="B20" s="120"/>
      <c r="C20" s="121"/>
      <c r="D20" s="121"/>
      <c r="E20" s="121"/>
      <c r="F20" s="121"/>
      <c r="G20" s="122"/>
      <c r="H20" s="58"/>
    </row>
    <row r="21" spans="2:8" x14ac:dyDescent="0.35">
      <c r="B21" s="58"/>
      <c r="C21" s="58"/>
      <c r="D21" s="58"/>
      <c r="E21" s="58"/>
      <c r="F21" s="58"/>
      <c r="G21" s="58"/>
      <c r="H21" s="58"/>
    </row>
    <row r="22" spans="2:8" x14ac:dyDescent="0.35">
      <c r="B22" s="58"/>
      <c r="C22" s="58"/>
      <c r="D22" s="58"/>
      <c r="E22" s="58"/>
      <c r="F22" s="58"/>
      <c r="G22" s="58"/>
      <c r="H22" s="58"/>
    </row>
    <row r="23" spans="2:8" x14ac:dyDescent="0.35">
      <c r="B23" s="59" t="s">
        <v>484</v>
      </c>
      <c r="C23" s="58"/>
      <c r="D23" s="58"/>
      <c r="E23" s="58"/>
      <c r="F23" s="58"/>
      <c r="G23" s="58"/>
      <c r="H23" s="58"/>
    </row>
    <row r="24" spans="2:8" x14ac:dyDescent="0.35">
      <c r="B24" s="58" t="s">
        <v>485</v>
      </c>
      <c r="C24" s="58"/>
      <c r="D24" s="58"/>
      <c r="E24" s="58"/>
      <c r="F24" s="58"/>
      <c r="G24" s="58"/>
      <c r="H24" s="58"/>
    </row>
    <row r="25" spans="2:8" x14ac:dyDescent="0.35">
      <c r="B25" s="99"/>
      <c r="C25" s="100"/>
      <c r="D25" s="100"/>
      <c r="E25" s="100"/>
      <c r="F25" s="100"/>
      <c r="G25" s="101"/>
      <c r="H25" s="58"/>
    </row>
    <row r="26" spans="2:8" x14ac:dyDescent="0.35">
      <c r="B26" s="102"/>
      <c r="C26" s="103"/>
      <c r="D26" s="103"/>
      <c r="E26" s="103"/>
      <c r="F26" s="103"/>
      <c r="G26" s="104"/>
      <c r="H26" s="58"/>
    </row>
    <row r="27" spans="2:8" x14ac:dyDescent="0.35">
      <c r="B27" s="102"/>
      <c r="C27" s="103"/>
      <c r="D27" s="103"/>
      <c r="E27" s="103"/>
      <c r="F27" s="103"/>
      <c r="G27" s="104"/>
      <c r="H27" s="58"/>
    </row>
    <row r="28" spans="2:8" x14ac:dyDescent="0.35">
      <c r="B28" s="102"/>
      <c r="C28" s="103"/>
      <c r="D28" s="103"/>
      <c r="E28" s="103"/>
      <c r="F28" s="103"/>
      <c r="G28" s="104"/>
      <c r="H28" s="58"/>
    </row>
    <row r="29" spans="2:8" x14ac:dyDescent="0.35">
      <c r="B29" s="102"/>
      <c r="C29" s="103"/>
      <c r="D29" s="103"/>
      <c r="E29" s="103"/>
      <c r="F29" s="103"/>
      <c r="G29" s="104"/>
      <c r="H29" s="58"/>
    </row>
    <row r="30" spans="2:8" x14ac:dyDescent="0.35">
      <c r="B30" s="102"/>
      <c r="C30" s="103"/>
      <c r="D30" s="103"/>
      <c r="E30" s="103"/>
      <c r="F30" s="103"/>
      <c r="G30" s="104"/>
      <c r="H30" s="58"/>
    </row>
    <row r="31" spans="2:8" x14ac:dyDescent="0.35">
      <c r="B31" s="102"/>
      <c r="C31" s="103"/>
      <c r="D31" s="103"/>
      <c r="E31" s="103"/>
      <c r="F31" s="103"/>
      <c r="G31" s="104"/>
      <c r="H31" s="58"/>
    </row>
    <row r="32" spans="2:8" x14ac:dyDescent="0.35">
      <c r="B32" s="105"/>
      <c r="C32" s="106"/>
      <c r="D32" s="106"/>
      <c r="E32" s="106"/>
      <c r="F32" s="106"/>
      <c r="G32" s="107"/>
      <c r="H32" s="58"/>
    </row>
    <row r="33" spans="2:14" x14ac:dyDescent="0.35">
      <c r="B33" s="58"/>
      <c r="C33" s="58"/>
      <c r="D33" s="58"/>
      <c r="E33" s="58"/>
      <c r="F33" s="58"/>
      <c r="G33" s="58"/>
      <c r="H33" s="58"/>
    </row>
    <row r="34" spans="2:14" x14ac:dyDescent="0.35">
      <c r="B34" s="59" t="s">
        <v>488</v>
      </c>
      <c r="C34" s="58"/>
      <c r="D34" s="58"/>
      <c r="E34" s="58"/>
      <c r="F34" s="58"/>
      <c r="G34" s="58"/>
      <c r="H34" s="58"/>
    </row>
    <row r="35" spans="2:14" x14ac:dyDescent="0.35">
      <c r="B35" s="59"/>
      <c r="C35" s="58"/>
      <c r="D35" s="58"/>
      <c r="E35" s="58"/>
      <c r="F35" s="58"/>
      <c r="G35" s="58"/>
      <c r="H35" s="58"/>
    </row>
    <row r="36" spans="2:14" x14ac:dyDescent="0.35">
      <c r="B36" s="59" t="s">
        <v>489</v>
      </c>
      <c r="C36" s="58"/>
      <c r="D36" s="58"/>
      <c r="E36" s="58"/>
      <c r="F36" s="58"/>
      <c r="G36" s="58"/>
      <c r="H36" s="58"/>
    </row>
    <row r="37" spans="2:14" x14ac:dyDescent="0.35">
      <c r="B37" s="59" t="s">
        <v>521</v>
      </c>
      <c r="C37" s="58"/>
      <c r="D37" s="58"/>
      <c r="E37" s="58"/>
      <c r="F37" s="58"/>
      <c r="G37" s="58"/>
      <c r="H37" s="58"/>
    </row>
    <row r="38" spans="2:14" ht="14.5" customHeight="1" x14ac:dyDescent="0.35">
      <c r="B38" s="108" t="s">
        <v>522</v>
      </c>
      <c r="C38" s="108"/>
      <c r="D38" s="108"/>
      <c r="E38" s="108"/>
      <c r="F38" s="108"/>
      <c r="G38" s="108"/>
      <c r="H38" s="63"/>
    </row>
    <row r="39" spans="2:14" x14ac:dyDescent="0.35">
      <c r="B39" s="108"/>
      <c r="C39" s="108"/>
      <c r="D39" s="108"/>
      <c r="E39" s="108"/>
      <c r="F39" s="108"/>
      <c r="G39" s="108"/>
      <c r="H39" s="63"/>
    </row>
    <row r="40" spans="2:14" ht="16" customHeight="1" x14ac:dyDescent="0.35">
      <c r="B40" s="108" t="s">
        <v>520</v>
      </c>
      <c r="C40" s="108"/>
      <c r="D40" s="108"/>
      <c r="E40" s="108"/>
      <c r="F40" s="108"/>
      <c r="G40" s="108"/>
      <c r="H40" s="64"/>
    </row>
    <row r="41" spans="2:14" ht="16" customHeight="1" x14ac:dyDescent="0.35">
      <c r="B41" s="112"/>
      <c r="C41" s="112"/>
      <c r="D41" s="112"/>
      <c r="E41" s="112"/>
      <c r="F41" s="112"/>
      <c r="G41" s="112"/>
      <c r="H41" s="64"/>
    </row>
    <row r="42" spans="2:14" ht="30.65" customHeight="1" x14ac:dyDescent="0.35">
      <c r="B42" s="42" t="s">
        <v>486</v>
      </c>
      <c r="C42" s="43" t="s">
        <v>490</v>
      </c>
      <c r="D42" s="43" t="s">
        <v>491</v>
      </c>
      <c r="E42" s="43" t="s">
        <v>492</v>
      </c>
      <c r="F42" s="43" t="s">
        <v>493</v>
      </c>
      <c r="G42" s="44" t="s">
        <v>494</v>
      </c>
      <c r="H42" s="58"/>
    </row>
    <row r="43" spans="2:14" x14ac:dyDescent="0.35">
      <c r="B43" s="47"/>
      <c r="C43" s="45"/>
      <c r="D43" s="53"/>
      <c r="E43" s="45"/>
      <c r="F43" s="45"/>
      <c r="G43" s="46"/>
      <c r="H43" s="58"/>
      <c r="N43" s="40"/>
    </row>
    <row r="44" spans="2:14" x14ac:dyDescent="0.35">
      <c r="B44" s="47"/>
      <c r="C44" s="45"/>
      <c r="D44" s="53"/>
      <c r="E44" s="45"/>
      <c r="F44" s="45"/>
      <c r="G44" s="46"/>
      <c r="H44" s="58"/>
    </row>
    <row r="45" spans="2:14" x14ac:dyDescent="0.35">
      <c r="B45" s="47"/>
      <c r="C45" s="45"/>
      <c r="D45" s="45"/>
      <c r="E45" s="45"/>
      <c r="F45" s="45"/>
      <c r="G45" s="46"/>
      <c r="H45" s="58"/>
    </row>
    <row r="46" spans="2:14" x14ac:dyDescent="0.35">
      <c r="B46" s="47"/>
      <c r="C46" s="39"/>
      <c r="D46" s="39"/>
      <c r="E46" s="39"/>
      <c r="F46" s="39"/>
      <c r="G46" s="41"/>
      <c r="H46" s="58"/>
    </row>
    <row r="47" spans="2:14" x14ac:dyDescent="0.35">
      <c r="B47" s="47"/>
      <c r="C47" s="48"/>
      <c r="D47" s="48"/>
      <c r="E47" s="48"/>
      <c r="F47" s="48"/>
      <c r="G47" s="49"/>
      <c r="H47" s="58"/>
    </row>
    <row r="48" spans="2:14" x14ac:dyDescent="0.35">
      <c r="B48" s="50"/>
      <c r="C48" s="51"/>
      <c r="D48" s="51"/>
      <c r="E48" s="51"/>
      <c r="F48" s="51"/>
      <c r="G48" s="52"/>
      <c r="H48" s="58"/>
    </row>
    <row r="49" spans="2:8" x14ac:dyDescent="0.35">
      <c r="B49" s="58"/>
      <c r="C49" s="58"/>
      <c r="D49" s="58"/>
      <c r="E49" s="58"/>
      <c r="F49" s="58"/>
      <c r="G49" s="58"/>
      <c r="H49" s="58"/>
    </row>
    <row r="50" spans="2:8" x14ac:dyDescent="0.35">
      <c r="B50" s="59" t="s">
        <v>500</v>
      </c>
      <c r="C50" s="58"/>
      <c r="D50" s="58"/>
      <c r="E50" s="58"/>
      <c r="F50" s="58"/>
      <c r="G50" s="58"/>
      <c r="H50" s="58"/>
    </row>
    <row r="51" spans="2:8" x14ac:dyDescent="0.35">
      <c r="B51" s="58" t="s">
        <v>527</v>
      </c>
      <c r="C51" s="58"/>
      <c r="D51" s="58"/>
      <c r="E51" s="58"/>
      <c r="F51" s="58"/>
      <c r="G51" s="58"/>
      <c r="H51" s="58"/>
    </row>
    <row r="52" spans="2:8" ht="14.5" customHeight="1" x14ac:dyDescent="0.35">
      <c r="B52" s="108" t="s">
        <v>518</v>
      </c>
      <c r="C52" s="108"/>
      <c r="D52" s="108"/>
      <c r="E52" s="108"/>
      <c r="F52" s="108"/>
      <c r="G52" s="108"/>
      <c r="H52" s="61"/>
    </row>
    <row r="53" spans="2:8" x14ac:dyDescent="0.35">
      <c r="B53" s="109" t="s">
        <v>512</v>
      </c>
      <c r="C53" s="109"/>
      <c r="D53" s="65"/>
      <c r="E53" s="65"/>
      <c r="F53" s="65"/>
      <c r="G53" s="65"/>
      <c r="H53" s="62"/>
    </row>
    <row r="54" spans="2:8" x14ac:dyDescent="0.35">
      <c r="B54" s="58"/>
      <c r="C54" s="58"/>
      <c r="D54" s="58"/>
      <c r="E54" s="58"/>
      <c r="F54" s="58"/>
      <c r="G54" s="58"/>
      <c r="H54" s="58"/>
    </row>
    <row r="55" spans="2:8" x14ac:dyDescent="0.35">
      <c r="H55" s="58"/>
    </row>
    <row r="56" spans="2:8" x14ac:dyDescent="0.35">
      <c r="B56" s="58"/>
      <c r="C56" s="58"/>
      <c r="D56" s="58"/>
      <c r="E56" s="58"/>
      <c r="F56" s="58"/>
      <c r="G56" s="58"/>
      <c r="H56" s="58"/>
    </row>
    <row r="57" spans="2:8" x14ac:dyDescent="0.35">
      <c r="B57" s="58" t="s">
        <v>501</v>
      </c>
      <c r="C57" s="58"/>
      <c r="D57" s="58"/>
      <c r="E57" s="58"/>
      <c r="F57" s="58"/>
      <c r="G57" s="58"/>
      <c r="H57" s="58"/>
    </row>
    <row r="58" spans="2:8" x14ac:dyDescent="0.35">
      <c r="B58" s="113"/>
      <c r="C58" s="113"/>
      <c r="D58" s="113"/>
      <c r="E58" s="113"/>
      <c r="F58" s="113"/>
      <c r="G58" s="113"/>
      <c r="H58" s="58"/>
    </row>
    <row r="59" spans="2:8" x14ac:dyDescent="0.35">
      <c r="B59" s="113"/>
      <c r="C59" s="113"/>
      <c r="D59" s="113"/>
      <c r="E59" s="113"/>
      <c r="F59" s="113"/>
      <c r="G59" s="113"/>
      <c r="H59" s="58"/>
    </row>
    <row r="60" spans="2:8" x14ac:dyDescent="0.35">
      <c r="B60" s="58"/>
      <c r="C60" s="58"/>
      <c r="D60" s="58"/>
      <c r="E60" s="58"/>
      <c r="F60" s="58"/>
      <c r="G60" s="58"/>
      <c r="H60" s="58"/>
    </row>
    <row r="61" spans="2:8" x14ac:dyDescent="0.35">
      <c r="B61" s="59" t="s">
        <v>504</v>
      </c>
      <c r="C61" s="58"/>
      <c r="D61" s="58"/>
      <c r="E61" s="58"/>
      <c r="F61" s="58"/>
      <c r="G61" s="58"/>
      <c r="H61" s="58"/>
    </row>
    <row r="62" spans="2:8" x14ac:dyDescent="0.35">
      <c r="B62" s="59"/>
      <c r="C62" s="58"/>
      <c r="D62" s="58"/>
      <c r="E62" s="58"/>
      <c r="F62" s="58"/>
      <c r="G62" s="58"/>
      <c r="H62" s="58"/>
    </row>
    <row r="63" spans="2:8" x14ac:dyDescent="0.35">
      <c r="B63" s="75" t="s">
        <v>502</v>
      </c>
      <c r="C63" s="58"/>
      <c r="D63" s="58"/>
      <c r="E63" s="58"/>
      <c r="F63" s="58"/>
      <c r="G63" s="58"/>
      <c r="H63" s="58"/>
    </row>
    <row r="64" spans="2:8" x14ac:dyDescent="0.35">
      <c r="B64" s="58" t="s">
        <v>523</v>
      </c>
      <c r="C64" s="58"/>
      <c r="D64" s="58"/>
      <c r="E64" s="58"/>
      <c r="F64" s="58"/>
      <c r="G64" s="58"/>
      <c r="H64" s="58"/>
    </row>
    <row r="65" spans="2:8" x14ac:dyDescent="0.35">
      <c r="F65" s="58"/>
      <c r="G65" s="58"/>
      <c r="H65" s="58"/>
    </row>
    <row r="66" spans="2:8" x14ac:dyDescent="0.35">
      <c r="B66" s="58"/>
      <c r="C66" s="58"/>
      <c r="D66" s="58"/>
      <c r="E66" s="58"/>
      <c r="F66" s="58"/>
      <c r="G66" s="58"/>
      <c r="H66" s="58"/>
    </row>
    <row r="67" spans="2:8" x14ac:dyDescent="0.35">
      <c r="B67" s="59" t="s">
        <v>503</v>
      </c>
      <c r="C67" s="58"/>
      <c r="D67" s="58"/>
      <c r="E67" s="58"/>
      <c r="F67" s="58"/>
      <c r="G67" s="58"/>
      <c r="H67" s="58"/>
    </row>
    <row r="68" spans="2:8" x14ac:dyDescent="0.35">
      <c r="B68" s="58" t="s">
        <v>528</v>
      </c>
      <c r="C68" s="58"/>
      <c r="D68" s="58"/>
      <c r="E68" s="58"/>
      <c r="F68" s="58"/>
      <c r="G68" s="58"/>
      <c r="H68" s="58"/>
    </row>
    <row r="69" spans="2:8" x14ac:dyDescent="0.35">
      <c r="B69" s="108" t="s">
        <v>524</v>
      </c>
      <c r="C69" s="108"/>
      <c r="D69" s="108"/>
      <c r="E69" s="108"/>
      <c r="F69" s="108"/>
      <c r="G69" s="108"/>
      <c r="H69" s="58"/>
    </row>
    <row r="70" spans="2:8" x14ac:dyDescent="0.35">
      <c r="B70" s="108"/>
      <c r="C70" s="108"/>
      <c r="D70" s="108"/>
      <c r="E70" s="108"/>
      <c r="F70" s="108"/>
      <c r="G70" s="108"/>
      <c r="H70" s="58"/>
    </row>
    <row r="71" spans="2:8" x14ac:dyDescent="0.35">
      <c r="E71" s="58"/>
      <c r="F71" s="58"/>
      <c r="G71" s="58"/>
      <c r="H71" s="58"/>
    </row>
    <row r="72" spans="2:8" x14ac:dyDescent="0.35">
      <c r="B72" s="58"/>
      <c r="C72" s="58"/>
      <c r="D72" s="58"/>
      <c r="E72" s="58"/>
      <c r="F72" s="58"/>
      <c r="G72" s="58"/>
      <c r="H72" s="58"/>
    </row>
    <row r="73" spans="2:8" x14ac:dyDescent="0.35">
      <c r="B73" s="59" t="s">
        <v>505</v>
      </c>
      <c r="C73" s="58"/>
      <c r="D73" s="58"/>
      <c r="E73" s="58"/>
      <c r="F73" s="58"/>
      <c r="G73" s="58"/>
      <c r="H73" s="58"/>
    </row>
    <row r="74" spans="2:8" x14ac:dyDescent="0.35">
      <c r="B74" s="58" t="s">
        <v>551</v>
      </c>
      <c r="C74" s="58"/>
      <c r="D74" s="58"/>
      <c r="E74" s="58"/>
      <c r="F74" s="58"/>
      <c r="G74" s="58"/>
      <c r="H74" s="58"/>
    </row>
    <row r="75" spans="2:8" ht="14.5" customHeight="1" x14ac:dyDescent="0.35">
      <c r="B75" s="108" t="s">
        <v>506</v>
      </c>
      <c r="C75" s="108"/>
      <c r="D75" s="108"/>
      <c r="E75" s="108"/>
      <c r="F75" s="108"/>
      <c r="G75" s="108"/>
      <c r="H75" s="63"/>
    </row>
    <row r="76" spans="2:8" x14ac:dyDescent="0.35">
      <c r="B76" s="108"/>
      <c r="C76" s="108"/>
      <c r="D76" s="108"/>
      <c r="E76" s="108"/>
      <c r="F76" s="108"/>
      <c r="G76" s="108"/>
      <c r="H76" s="63"/>
    </row>
    <row r="77" spans="2:8" x14ac:dyDescent="0.35">
      <c r="D77" s="58"/>
      <c r="E77" s="58"/>
      <c r="F77" s="58"/>
      <c r="G77" s="58"/>
      <c r="H77" s="58"/>
    </row>
    <row r="78" spans="2:8" x14ac:dyDescent="0.35">
      <c r="D78" s="58"/>
      <c r="E78" s="58"/>
      <c r="F78" s="58"/>
      <c r="G78" s="58"/>
      <c r="H78" s="58"/>
    </row>
    <row r="79" spans="2:8" x14ac:dyDescent="0.35">
      <c r="D79" s="58"/>
      <c r="E79" s="58"/>
      <c r="F79" s="58"/>
      <c r="G79" s="58"/>
      <c r="H79" s="58"/>
    </row>
    <row r="80" spans="2:8" x14ac:dyDescent="0.35">
      <c r="D80" s="58"/>
      <c r="E80" s="58"/>
      <c r="F80" s="58"/>
      <c r="G80" s="58"/>
      <c r="H80" s="58"/>
    </row>
    <row r="81" spans="2:8" x14ac:dyDescent="0.35">
      <c r="D81" s="58"/>
      <c r="E81" s="58"/>
      <c r="F81" s="58"/>
      <c r="G81" s="58"/>
      <c r="H81" s="58"/>
    </row>
    <row r="82" spans="2:8" x14ac:dyDescent="0.35">
      <c r="D82" s="58"/>
      <c r="E82" s="58"/>
      <c r="F82" s="58"/>
      <c r="G82" s="58"/>
      <c r="H82" s="58"/>
    </row>
    <row r="83" spans="2:8" x14ac:dyDescent="0.35">
      <c r="D83" s="58"/>
      <c r="E83" s="58"/>
      <c r="F83" s="58"/>
      <c r="G83" s="58"/>
      <c r="H83" s="58"/>
    </row>
    <row r="84" spans="2:8" x14ac:dyDescent="0.35">
      <c r="D84" s="58"/>
      <c r="E84" s="58"/>
      <c r="F84" s="58"/>
      <c r="G84" s="58"/>
      <c r="H84" s="58"/>
    </row>
    <row r="85" spans="2:8" x14ac:dyDescent="0.35">
      <c r="D85" s="58"/>
      <c r="E85" s="58"/>
      <c r="F85" s="58"/>
      <c r="G85" s="58"/>
      <c r="H85" s="58"/>
    </row>
    <row r="86" spans="2:8" x14ac:dyDescent="0.35">
      <c r="D86" s="58"/>
      <c r="E86" s="58"/>
      <c r="F86" s="58"/>
      <c r="G86" s="58"/>
      <c r="H86" s="58"/>
    </row>
    <row r="87" spans="2:8" x14ac:dyDescent="0.35">
      <c r="D87" s="58"/>
      <c r="E87" s="58"/>
      <c r="F87" s="58"/>
      <c r="G87" s="58"/>
      <c r="H87" s="58"/>
    </row>
    <row r="88" spans="2:8" x14ac:dyDescent="0.35">
      <c r="D88" s="58"/>
      <c r="E88" s="58"/>
      <c r="F88" s="58"/>
      <c r="G88" s="58"/>
      <c r="H88" s="58"/>
    </row>
    <row r="89" spans="2:8" x14ac:dyDescent="0.35">
      <c r="D89" s="58"/>
      <c r="E89" s="58"/>
      <c r="F89" s="58"/>
      <c r="G89" s="58"/>
      <c r="H89" s="58"/>
    </row>
    <row r="90" spans="2:8" x14ac:dyDescent="0.35">
      <c r="B90" s="55" t="s">
        <v>508</v>
      </c>
      <c r="C90" s="54">
        <v>45854</v>
      </c>
      <c r="D90" s="58"/>
      <c r="E90" s="58"/>
      <c r="F90" s="58"/>
      <c r="G90" s="58"/>
      <c r="H90" s="81"/>
    </row>
    <row r="91" spans="2:8" x14ac:dyDescent="0.35">
      <c r="B91" s="58"/>
      <c r="C91" s="58"/>
      <c r="D91" s="58"/>
      <c r="E91" s="58"/>
      <c r="F91" s="58"/>
      <c r="G91" s="58"/>
      <c r="H91" s="58"/>
    </row>
    <row r="92" spans="2:8" x14ac:dyDescent="0.35">
      <c r="B92" s="59" t="s">
        <v>507</v>
      </c>
      <c r="C92" s="58"/>
      <c r="D92" s="58"/>
      <c r="E92" s="58"/>
      <c r="F92" s="58"/>
      <c r="G92" s="58"/>
      <c r="H92" s="58"/>
    </row>
    <row r="93" spans="2:8" x14ac:dyDescent="0.35">
      <c r="B93" s="58" t="s">
        <v>511</v>
      </c>
      <c r="C93" s="58"/>
      <c r="D93" s="58"/>
      <c r="E93" s="58"/>
      <c r="F93" s="58"/>
      <c r="G93" s="58"/>
      <c r="H93" s="58"/>
    </row>
    <row r="94" spans="2:8" x14ac:dyDescent="0.35">
      <c r="B94" s="99"/>
      <c r="C94" s="100"/>
      <c r="D94" s="100"/>
      <c r="E94" s="100"/>
      <c r="F94" s="100"/>
      <c r="G94" s="101"/>
      <c r="H94" s="58"/>
    </row>
    <row r="95" spans="2:8" x14ac:dyDescent="0.35">
      <c r="B95" s="102"/>
      <c r="C95" s="103"/>
      <c r="D95" s="103"/>
      <c r="E95" s="103"/>
      <c r="F95" s="103"/>
      <c r="G95" s="104"/>
      <c r="H95" s="58"/>
    </row>
    <row r="96" spans="2:8" x14ac:dyDescent="0.35">
      <c r="B96" s="102"/>
      <c r="C96" s="103"/>
      <c r="D96" s="103"/>
      <c r="E96" s="103"/>
      <c r="F96" s="103"/>
      <c r="G96" s="104"/>
      <c r="H96" s="58"/>
    </row>
    <row r="97" spans="2:8" x14ac:dyDescent="0.35">
      <c r="B97" s="102"/>
      <c r="C97" s="103"/>
      <c r="D97" s="103"/>
      <c r="E97" s="103"/>
      <c r="F97" s="103"/>
      <c r="G97" s="104"/>
      <c r="H97" s="58"/>
    </row>
    <row r="98" spans="2:8" x14ac:dyDescent="0.35">
      <c r="B98" s="102"/>
      <c r="C98" s="103"/>
      <c r="D98" s="103"/>
      <c r="E98" s="103"/>
      <c r="F98" s="103"/>
      <c r="G98" s="104"/>
      <c r="H98" s="58"/>
    </row>
    <row r="99" spans="2:8" x14ac:dyDescent="0.35">
      <c r="B99" s="102"/>
      <c r="C99" s="103"/>
      <c r="D99" s="103"/>
      <c r="E99" s="103"/>
      <c r="F99" s="103"/>
      <c r="G99" s="104"/>
      <c r="H99" s="58"/>
    </row>
    <row r="100" spans="2:8" x14ac:dyDescent="0.35">
      <c r="B100" s="105"/>
      <c r="C100" s="106"/>
      <c r="D100" s="106"/>
      <c r="E100" s="106"/>
      <c r="F100" s="106"/>
      <c r="G100" s="107"/>
      <c r="H100" s="58"/>
    </row>
    <row r="101" spans="2:8" x14ac:dyDescent="0.35">
      <c r="B101" s="58"/>
      <c r="C101" s="58"/>
      <c r="D101" s="58"/>
      <c r="E101" s="58"/>
      <c r="F101" s="58"/>
      <c r="G101" s="58"/>
      <c r="H101" s="58"/>
    </row>
    <row r="102" spans="2:8" x14ac:dyDescent="0.35">
      <c r="B102" s="58" t="s">
        <v>509</v>
      </c>
      <c r="C102" s="58"/>
      <c r="D102" s="58"/>
      <c r="E102" s="58"/>
      <c r="F102" s="58"/>
      <c r="G102" s="58"/>
      <c r="H102" s="58"/>
    </row>
    <row r="103" spans="2:8" x14ac:dyDescent="0.35">
      <c r="B103" s="58"/>
      <c r="C103" s="58"/>
      <c r="D103" s="58"/>
      <c r="E103" s="58"/>
      <c r="F103" s="58"/>
      <c r="G103" s="58"/>
      <c r="H103" s="58"/>
    </row>
    <row r="104" spans="2:8" x14ac:dyDescent="0.35">
      <c r="B104" s="58"/>
      <c r="C104" s="58"/>
      <c r="D104" s="58"/>
      <c r="E104" s="58"/>
      <c r="F104" s="58"/>
      <c r="G104" s="58"/>
      <c r="H104" s="58"/>
    </row>
    <row r="105" spans="2:8" x14ac:dyDescent="0.35">
      <c r="B105" s="58"/>
      <c r="C105" s="58"/>
      <c r="D105" s="58"/>
      <c r="E105" s="58"/>
      <c r="F105" s="58"/>
      <c r="G105" s="58"/>
      <c r="H105" s="58"/>
    </row>
    <row r="106" spans="2:8" x14ac:dyDescent="0.35">
      <c r="B106" s="58"/>
      <c r="C106" s="58"/>
      <c r="D106" s="58"/>
      <c r="E106" s="58"/>
      <c r="F106" s="58"/>
      <c r="G106" s="58"/>
      <c r="H106" s="58"/>
    </row>
    <row r="107" spans="2:8" x14ac:dyDescent="0.35">
      <c r="B107" s="58"/>
      <c r="C107" s="58"/>
      <c r="D107" s="58"/>
      <c r="E107" s="58"/>
      <c r="F107" s="58"/>
      <c r="G107" s="58"/>
      <c r="H107" s="58"/>
    </row>
    <row r="108" spans="2:8" x14ac:dyDescent="0.35">
      <c r="B108" s="58"/>
      <c r="C108" s="58"/>
      <c r="D108" s="58"/>
      <c r="E108" s="58"/>
      <c r="F108" s="58"/>
      <c r="G108" s="58"/>
      <c r="H108" s="58"/>
    </row>
    <row r="116" spans="3:3" x14ac:dyDescent="0.35">
      <c r="C116" s="54">
        <v>45863</v>
      </c>
    </row>
  </sheetData>
  <mergeCells count="13">
    <mergeCell ref="B1:G1"/>
    <mergeCell ref="B38:G39"/>
    <mergeCell ref="B40:G41"/>
    <mergeCell ref="B69:G70"/>
    <mergeCell ref="B75:G76"/>
    <mergeCell ref="B58:G59"/>
    <mergeCell ref="B17:G20"/>
    <mergeCell ref="B25:G32"/>
    <mergeCell ref="B94:G100"/>
    <mergeCell ref="B52:G52"/>
    <mergeCell ref="B53:C53"/>
    <mergeCell ref="B3:G6"/>
    <mergeCell ref="B7:G8"/>
  </mergeCells>
  <hyperlinks>
    <hyperlink ref="B53:C53" r:id="rId1" display="NISRA Boundary Application. " xr:uid="{4CE29DF4-DC9C-4D5E-B3AA-E808C601AB13}"/>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4" r:id="rId5" name="Check Box 2">
              <controlPr defaultSize="0" autoFill="0" autoLine="0" autoPict="0">
                <anchor moveWithCells="1">
                  <from>
                    <xdr:col>1</xdr:col>
                    <xdr:colOff>50800</xdr:colOff>
                    <xdr:row>53</xdr:row>
                    <xdr:rowOff>165100</xdr:rowOff>
                  </from>
                  <to>
                    <xdr:col>2</xdr:col>
                    <xdr:colOff>146050</xdr:colOff>
                    <xdr:row>55</xdr:row>
                    <xdr:rowOff>69850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3</xdr:col>
                    <xdr:colOff>184150</xdr:colOff>
                    <xdr:row>53</xdr:row>
                    <xdr:rowOff>165100</xdr:rowOff>
                  </from>
                  <to>
                    <xdr:col>4</xdr:col>
                    <xdr:colOff>412750</xdr:colOff>
                    <xdr:row>55</xdr:row>
                    <xdr:rowOff>69850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4</xdr:col>
                    <xdr:colOff>679450</xdr:colOff>
                    <xdr:row>53</xdr:row>
                    <xdr:rowOff>165100</xdr:rowOff>
                  </from>
                  <to>
                    <xdr:col>5</xdr:col>
                    <xdr:colOff>355600</xdr:colOff>
                    <xdr:row>55</xdr:row>
                    <xdr:rowOff>69850</xdr:rowOff>
                  </to>
                </anchor>
              </controlPr>
            </control>
          </mc:Choice>
        </mc:AlternateContent>
        <mc:AlternateContent xmlns:mc="http://schemas.openxmlformats.org/markup-compatibility/2006">
          <mc:Choice Requires="x14">
            <control shapeId="3077" r:id="rId8" name="Check Box 5">
              <controlPr defaultSize="0" autoFill="0" autoLine="0" autoPict="0">
                <anchor moveWithCells="1">
                  <from>
                    <xdr:col>5</xdr:col>
                    <xdr:colOff>565150</xdr:colOff>
                    <xdr:row>53</xdr:row>
                    <xdr:rowOff>152400</xdr:rowOff>
                  </from>
                  <to>
                    <xdr:col>6</xdr:col>
                    <xdr:colOff>571500</xdr:colOff>
                    <xdr:row>55</xdr:row>
                    <xdr:rowOff>69850</xdr:rowOff>
                  </to>
                </anchor>
              </controlPr>
            </control>
          </mc:Choice>
        </mc:AlternateContent>
        <mc:AlternateContent xmlns:mc="http://schemas.openxmlformats.org/markup-compatibility/2006">
          <mc:Choice Requires="x14">
            <control shapeId="3078" r:id="rId9" name="Check Box 6">
              <controlPr defaultSize="0" autoFill="0" autoLine="0" autoPict="0">
                <anchor moveWithCells="1">
                  <from>
                    <xdr:col>2</xdr:col>
                    <xdr:colOff>266700</xdr:colOff>
                    <xdr:row>53</xdr:row>
                    <xdr:rowOff>165100</xdr:rowOff>
                  </from>
                  <to>
                    <xdr:col>3</xdr:col>
                    <xdr:colOff>19050</xdr:colOff>
                    <xdr:row>55</xdr:row>
                    <xdr:rowOff>69850</xdr:rowOff>
                  </to>
                </anchor>
              </controlPr>
            </control>
          </mc:Choice>
        </mc:AlternateContent>
        <mc:AlternateContent xmlns:mc="http://schemas.openxmlformats.org/markup-compatibility/2006">
          <mc:Choice Requires="x14">
            <control shapeId="3079" r:id="rId10" name="Check Box 7">
              <controlPr defaultSize="0" autoFill="0" autoLine="0" autoPict="0">
                <anchor moveWithCells="1">
                  <from>
                    <xdr:col>1</xdr:col>
                    <xdr:colOff>69850</xdr:colOff>
                    <xdr:row>64</xdr:row>
                    <xdr:rowOff>12700</xdr:rowOff>
                  </from>
                  <to>
                    <xdr:col>1</xdr:col>
                    <xdr:colOff>869950</xdr:colOff>
                    <xdr:row>65</xdr:row>
                    <xdr:rowOff>38100</xdr:rowOff>
                  </to>
                </anchor>
              </controlPr>
            </control>
          </mc:Choice>
        </mc:AlternateContent>
        <mc:AlternateContent xmlns:mc="http://schemas.openxmlformats.org/markup-compatibility/2006">
          <mc:Choice Requires="x14">
            <control shapeId="3081" r:id="rId11" name="Check Box 9">
              <controlPr defaultSize="0" autoFill="0" autoLine="0" autoPict="0">
                <anchor moveWithCells="1">
                  <from>
                    <xdr:col>3</xdr:col>
                    <xdr:colOff>895350</xdr:colOff>
                    <xdr:row>63</xdr:row>
                    <xdr:rowOff>171450</xdr:rowOff>
                  </from>
                  <to>
                    <xdr:col>4</xdr:col>
                    <xdr:colOff>736600</xdr:colOff>
                    <xdr:row>65</xdr:row>
                    <xdr:rowOff>57150</xdr:rowOff>
                  </to>
                </anchor>
              </controlPr>
            </control>
          </mc:Choice>
        </mc:AlternateContent>
        <mc:AlternateContent xmlns:mc="http://schemas.openxmlformats.org/markup-compatibility/2006">
          <mc:Choice Requires="x14">
            <control shapeId="3082" r:id="rId12" name="Check Box 10">
              <controlPr defaultSize="0" autoFill="0" autoLine="0" autoPict="0">
                <anchor moveWithCells="1">
                  <from>
                    <xdr:col>1</xdr:col>
                    <xdr:colOff>1098550</xdr:colOff>
                    <xdr:row>64</xdr:row>
                    <xdr:rowOff>12700</xdr:rowOff>
                  </from>
                  <to>
                    <xdr:col>2</xdr:col>
                    <xdr:colOff>793750</xdr:colOff>
                    <xdr:row>65</xdr:row>
                    <xdr:rowOff>38100</xdr:rowOff>
                  </to>
                </anchor>
              </controlPr>
            </control>
          </mc:Choice>
        </mc:AlternateContent>
        <mc:AlternateContent xmlns:mc="http://schemas.openxmlformats.org/markup-compatibility/2006">
          <mc:Choice Requires="x14">
            <control shapeId="3083" r:id="rId13" name="Check Box 11">
              <controlPr defaultSize="0" autoFill="0" autoLine="0" autoPict="0">
                <anchor moveWithCells="1">
                  <from>
                    <xdr:col>2</xdr:col>
                    <xdr:colOff>819150</xdr:colOff>
                    <xdr:row>64</xdr:row>
                    <xdr:rowOff>12700</xdr:rowOff>
                  </from>
                  <to>
                    <xdr:col>2</xdr:col>
                    <xdr:colOff>1619250</xdr:colOff>
                    <xdr:row>65</xdr:row>
                    <xdr:rowOff>31750</xdr:rowOff>
                  </to>
                </anchor>
              </controlPr>
            </control>
          </mc:Choice>
        </mc:AlternateContent>
        <mc:AlternateContent xmlns:mc="http://schemas.openxmlformats.org/markup-compatibility/2006">
          <mc:Choice Requires="x14">
            <control shapeId="3084" r:id="rId14" name="Check Box 12">
              <controlPr defaultSize="0" autoFill="0" autoLine="0" autoPict="0">
                <anchor moveWithCells="1">
                  <from>
                    <xdr:col>3</xdr:col>
                    <xdr:colOff>12700</xdr:colOff>
                    <xdr:row>64</xdr:row>
                    <xdr:rowOff>12700</xdr:rowOff>
                  </from>
                  <to>
                    <xdr:col>3</xdr:col>
                    <xdr:colOff>812800</xdr:colOff>
                    <xdr:row>65</xdr:row>
                    <xdr:rowOff>38100</xdr:rowOff>
                  </to>
                </anchor>
              </controlPr>
            </control>
          </mc:Choice>
        </mc:AlternateContent>
        <mc:AlternateContent xmlns:mc="http://schemas.openxmlformats.org/markup-compatibility/2006">
          <mc:Choice Requires="x14">
            <control shapeId="3085" r:id="rId15" name="Check Box 13">
              <controlPr defaultSize="0" autoFill="0" autoLine="0" autoPict="0">
                <anchor moveWithCells="1">
                  <from>
                    <xdr:col>1</xdr:col>
                    <xdr:colOff>95250</xdr:colOff>
                    <xdr:row>70</xdr:row>
                    <xdr:rowOff>0</xdr:rowOff>
                  </from>
                  <to>
                    <xdr:col>1</xdr:col>
                    <xdr:colOff>1022350</xdr:colOff>
                    <xdr:row>71</xdr:row>
                    <xdr:rowOff>38100</xdr:rowOff>
                  </to>
                </anchor>
              </controlPr>
            </control>
          </mc:Choice>
        </mc:AlternateContent>
        <mc:AlternateContent xmlns:mc="http://schemas.openxmlformats.org/markup-compatibility/2006">
          <mc:Choice Requires="x14">
            <control shapeId="3086" r:id="rId16" name="Check Box 14">
              <controlPr defaultSize="0" autoFill="0" autoLine="0" autoPict="0">
                <anchor moveWithCells="1">
                  <from>
                    <xdr:col>2</xdr:col>
                    <xdr:colOff>1314450</xdr:colOff>
                    <xdr:row>70</xdr:row>
                    <xdr:rowOff>0</xdr:rowOff>
                  </from>
                  <to>
                    <xdr:col>3</xdr:col>
                    <xdr:colOff>660400</xdr:colOff>
                    <xdr:row>71</xdr:row>
                    <xdr:rowOff>76200</xdr:rowOff>
                  </to>
                </anchor>
              </controlPr>
            </control>
          </mc:Choice>
        </mc:AlternateContent>
        <mc:AlternateContent xmlns:mc="http://schemas.openxmlformats.org/markup-compatibility/2006">
          <mc:Choice Requires="x14">
            <control shapeId="3087" r:id="rId17" name="Check Box 15">
              <controlPr defaultSize="0" autoFill="0" autoLine="0" autoPict="0">
                <anchor moveWithCells="1">
                  <from>
                    <xdr:col>2</xdr:col>
                    <xdr:colOff>146050</xdr:colOff>
                    <xdr:row>70</xdr:row>
                    <xdr:rowOff>0</xdr:rowOff>
                  </from>
                  <to>
                    <xdr:col>2</xdr:col>
                    <xdr:colOff>1066800</xdr:colOff>
                    <xdr:row>71</xdr:row>
                    <xdr:rowOff>57150</xdr:rowOff>
                  </to>
                </anchor>
              </controlPr>
            </control>
          </mc:Choice>
        </mc:AlternateContent>
      </controls>
    </mc:Choice>
  </mc:AlternateContent>
  <tableParts count="1">
    <tablePart r:id="rId18"/>
  </tableParts>
  <extLst>
    <ext xmlns:x14="http://schemas.microsoft.com/office/spreadsheetml/2009/9/main" uri="{CCE6A557-97BC-4b89-ADB6-D9C93CAAB3DF}">
      <x14:dataValidations xmlns:xm="http://schemas.microsoft.com/office/excel/2006/main" count="1">
        <x14:dataValidation type="list" allowBlank="1" showInputMessage="1" showErrorMessage="1" xr:uid="{FF967C62-130F-431C-AE02-2412A6003E19}">
          <x14:formula1>
            <xm:f>'Background Lists'!$A$57:$A$59</xm:f>
          </x14:formula1>
          <xm:sqref>E43:E48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9D86C5-66EA-43B5-9834-3CCF29AFA526}">
  <sheetPr codeName="Sheet3"/>
  <dimension ref="A1:AC165"/>
  <sheetViews>
    <sheetView zoomScale="83" zoomScaleNormal="106" workbookViewId="0">
      <pane ySplit="1" topLeftCell="A7" activePane="bottomLeft" state="frozen"/>
      <selection pane="bottomLeft" activeCell="A7" sqref="A7:A165"/>
    </sheetView>
  </sheetViews>
  <sheetFormatPr defaultColWidth="9.1796875" defaultRowHeight="14.5" x14ac:dyDescent="0.35"/>
  <cols>
    <col min="1" max="1" width="9.1796875" style="2"/>
    <col min="2" max="2" width="55.81640625" style="3" bestFit="1" customWidth="1"/>
    <col min="3" max="3" width="15.7265625" style="2" customWidth="1"/>
    <col min="4" max="4" width="9.26953125" style="2" customWidth="1"/>
    <col min="5" max="5" width="12.1796875" style="2" customWidth="1"/>
    <col min="6" max="6" width="15.7265625" style="3" bestFit="1" customWidth="1"/>
    <col min="7" max="7" width="15.7265625" style="2" customWidth="1"/>
    <col min="8" max="8" width="19.7265625" style="3" customWidth="1"/>
    <col min="9" max="9" width="19" style="2" customWidth="1"/>
    <col min="10" max="10" width="14.54296875" style="2" customWidth="1"/>
    <col min="11" max="11" width="31" style="2" bestFit="1" customWidth="1"/>
    <col min="12" max="12" width="23" style="2" bestFit="1" customWidth="1"/>
    <col min="13" max="13" width="23.54296875" style="2" customWidth="1"/>
    <col min="14" max="14" width="15.26953125" style="2" customWidth="1"/>
    <col min="15" max="15" width="22.81640625" style="3" customWidth="1"/>
    <col min="16" max="16384" width="9.1796875" style="2"/>
  </cols>
  <sheetData>
    <row r="1" spans="1:16" s="24" customFormat="1" ht="50.25" customHeight="1" x14ac:dyDescent="0.35">
      <c r="A1" s="80" t="s">
        <v>486</v>
      </c>
      <c r="B1" s="23" t="s">
        <v>499</v>
      </c>
      <c r="C1" s="23" t="s">
        <v>32</v>
      </c>
      <c r="D1" s="23" t="s">
        <v>2</v>
      </c>
      <c r="E1" s="23" t="s">
        <v>3</v>
      </c>
      <c r="F1" s="23" t="s">
        <v>368</v>
      </c>
      <c r="G1" s="23" t="s">
        <v>366</v>
      </c>
      <c r="H1" s="23" t="s">
        <v>365</v>
      </c>
      <c r="I1" s="23" t="s">
        <v>7</v>
      </c>
      <c r="J1" s="23" t="s">
        <v>363</v>
      </c>
      <c r="K1" s="23" t="s">
        <v>0</v>
      </c>
      <c r="L1" s="23" t="s">
        <v>1</v>
      </c>
      <c r="M1" s="23" t="s">
        <v>4</v>
      </c>
      <c r="N1" s="23" t="s">
        <v>77</v>
      </c>
      <c r="O1" s="23" t="s">
        <v>369</v>
      </c>
      <c r="P1" s="23" t="s">
        <v>138</v>
      </c>
    </row>
    <row r="2" spans="1:16" ht="43.5" x14ac:dyDescent="0.35">
      <c r="A2" s="2">
        <v>1</v>
      </c>
      <c r="B2" s="3" t="s">
        <v>78</v>
      </c>
      <c r="C2" s="2" t="s">
        <v>33</v>
      </c>
      <c r="D2" s="2" t="s">
        <v>27</v>
      </c>
      <c r="E2" s="2" t="s">
        <v>81</v>
      </c>
      <c r="F2" s="3" t="s">
        <v>55</v>
      </c>
      <c r="G2" s="2">
        <v>1990</v>
      </c>
      <c r="H2" s="3">
        <v>2025</v>
      </c>
      <c r="I2" s="2" t="s">
        <v>16</v>
      </c>
      <c r="J2" s="4">
        <v>45614</v>
      </c>
      <c r="K2" s="2" t="s">
        <v>79</v>
      </c>
      <c r="L2" s="2" t="s">
        <v>36</v>
      </c>
      <c r="N2" s="5" t="s">
        <v>125</v>
      </c>
      <c r="O2" s="3" t="s">
        <v>426</v>
      </c>
    </row>
    <row r="3" spans="1:16" ht="29" x14ac:dyDescent="0.35">
      <c r="A3" s="2">
        <v>2</v>
      </c>
      <c r="B3" s="3" t="s">
        <v>80</v>
      </c>
      <c r="C3" s="2" t="s">
        <v>33</v>
      </c>
      <c r="D3" s="2" t="s">
        <v>118</v>
      </c>
      <c r="E3" s="2" t="s">
        <v>85</v>
      </c>
      <c r="F3" s="2" t="s">
        <v>55</v>
      </c>
      <c r="G3" s="2">
        <v>2022</v>
      </c>
      <c r="H3" s="3">
        <v>2023</v>
      </c>
      <c r="I3" s="2" t="s">
        <v>83</v>
      </c>
      <c r="J3" s="4">
        <v>45261</v>
      </c>
      <c r="K3" s="2" t="s">
        <v>84</v>
      </c>
      <c r="L3" s="2" t="s">
        <v>36</v>
      </c>
      <c r="M3" s="3" t="s">
        <v>123</v>
      </c>
      <c r="N3" s="5" t="s">
        <v>5</v>
      </c>
      <c r="O3" s="3" t="s">
        <v>74</v>
      </c>
    </row>
    <row r="4" spans="1:16" ht="29" x14ac:dyDescent="0.35">
      <c r="A4" s="2">
        <v>3</v>
      </c>
      <c r="B4" s="3" t="s">
        <v>190</v>
      </c>
      <c r="C4" s="2" t="s">
        <v>34</v>
      </c>
      <c r="D4" s="2" t="s">
        <v>30</v>
      </c>
      <c r="E4" s="2" t="s">
        <v>85</v>
      </c>
      <c r="F4" s="3" t="s">
        <v>55</v>
      </c>
      <c r="G4" s="3">
        <v>2025</v>
      </c>
      <c r="H4" s="3">
        <v>2025</v>
      </c>
      <c r="I4" s="2" t="s">
        <v>14</v>
      </c>
      <c r="K4" s="2" t="s">
        <v>90</v>
      </c>
      <c r="L4" s="2" t="s">
        <v>36</v>
      </c>
      <c r="M4" s="2" t="s">
        <v>109</v>
      </c>
      <c r="N4" s="2" t="s">
        <v>91</v>
      </c>
      <c r="O4" s="3" t="s">
        <v>75</v>
      </c>
      <c r="P4" s="2">
        <v>5</v>
      </c>
    </row>
    <row r="5" spans="1:16" ht="29" x14ac:dyDescent="0.35">
      <c r="A5" s="2">
        <v>4</v>
      </c>
      <c r="B5" s="3" t="s">
        <v>97</v>
      </c>
      <c r="C5" s="2" t="s">
        <v>33</v>
      </c>
      <c r="D5" s="2" t="s">
        <v>26</v>
      </c>
      <c r="E5" s="2" t="s">
        <v>81</v>
      </c>
      <c r="F5" s="2" t="s">
        <v>42</v>
      </c>
      <c r="G5" s="2">
        <v>2003</v>
      </c>
      <c r="H5" s="3">
        <v>2023</v>
      </c>
      <c r="I5" s="2" t="s">
        <v>23</v>
      </c>
      <c r="J5" s="4">
        <v>45657</v>
      </c>
      <c r="K5" s="2" t="s">
        <v>79</v>
      </c>
      <c r="L5" s="2" t="s">
        <v>36</v>
      </c>
      <c r="M5" s="3" t="s">
        <v>123</v>
      </c>
      <c r="N5" s="5" t="s">
        <v>5</v>
      </c>
      <c r="O5" s="3" t="s">
        <v>74</v>
      </c>
    </row>
    <row r="6" spans="1:16" ht="29" x14ac:dyDescent="0.35">
      <c r="A6" s="2">
        <v>5</v>
      </c>
      <c r="B6" s="3" t="s">
        <v>94</v>
      </c>
      <c r="C6" s="2" t="s">
        <v>35</v>
      </c>
      <c r="D6" s="2" t="s">
        <v>26</v>
      </c>
      <c r="E6" s="2" t="s">
        <v>85</v>
      </c>
      <c r="F6" s="3" t="s">
        <v>55</v>
      </c>
      <c r="G6" s="3" t="s">
        <v>126</v>
      </c>
      <c r="H6" s="3" t="s">
        <v>165</v>
      </c>
      <c r="I6" s="2" t="s">
        <v>14</v>
      </c>
      <c r="K6" s="2" t="s">
        <v>95</v>
      </c>
      <c r="L6" s="2" t="s">
        <v>39</v>
      </c>
      <c r="N6" s="2" t="s">
        <v>126</v>
      </c>
      <c r="O6" s="3" t="s">
        <v>74</v>
      </c>
    </row>
    <row r="7" spans="1:16" ht="29" x14ac:dyDescent="0.35">
      <c r="A7" s="2">
        <v>5</v>
      </c>
      <c r="B7" s="3" t="s">
        <v>96</v>
      </c>
      <c r="C7" s="2" t="s">
        <v>33</v>
      </c>
      <c r="D7" s="2" t="s">
        <v>26</v>
      </c>
      <c r="E7" s="2" t="s">
        <v>81</v>
      </c>
      <c r="F7" s="2" t="s">
        <v>53</v>
      </c>
      <c r="G7" s="2">
        <v>2003</v>
      </c>
      <c r="H7" s="3">
        <v>2023</v>
      </c>
      <c r="I7" s="2" t="s">
        <v>23</v>
      </c>
      <c r="J7" s="4">
        <v>45657</v>
      </c>
      <c r="K7" s="2" t="s">
        <v>79</v>
      </c>
      <c r="L7" s="2" t="s">
        <v>36</v>
      </c>
      <c r="M7" s="3" t="s">
        <v>123</v>
      </c>
      <c r="N7" s="5" t="s">
        <v>5</v>
      </c>
      <c r="O7" s="3" t="s">
        <v>74</v>
      </c>
    </row>
    <row r="8" spans="1:16" ht="29" x14ac:dyDescent="0.35">
      <c r="A8" s="2">
        <v>6</v>
      </c>
      <c r="B8" s="3" t="s">
        <v>98</v>
      </c>
      <c r="C8" s="2" t="s">
        <v>33</v>
      </c>
      <c r="D8" s="2" t="s">
        <v>26</v>
      </c>
      <c r="E8" s="2" t="s">
        <v>81</v>
      </c>
      <c r="F8" s="2" t="s">
        <v>53</v>
      </c>
      <c r="G8" s="2">
        <v>2003</v>
      </c>
      <c r="H8" s="3">
        <v>2023</v>
      </c>
      <c r="I8" s="2" t="s">
        <v>23</v>
      </c>
      <c r="J8" s="4">
        <v>45657</v>
      </c>
      <c r="K8" s="2" t="s">
        <v>79</v>
      </c>
      <c r="L8" s="2" t="s">
        <v>36</v>
      </c>
      <c r="M8" s="3" t="s">
        <v>123</v>
      </c>
      <c r="N8" s="5" t="s">
        <v>5</v>
      </c>
      <c r="O8" s="3" t="s">
        <v>372</v>
      </c>
    </row>
    <row r="9" spans="1:16" x14ac:dyDescent="0.35">
      <c r="A9" s="2">
        <v>7</v>
      </c>
      <c r="B9" s="3" t="s">
        <v>99</v>
      </c>
      <c r="C9" s="2" t="s">
        <v>33</v>
      </c>
      <c r="D9" s="2" t="s">
        <v>118</v>
      </c>
      <c r="E9" s="2" t="s">
        <v>81</v>
      </c>
      <c r="F9" s="2" t="s">
        <v>53</v>
      </c>
      <c r="G9" s="2">
        <v>2003</v>
      </c>
      <c r="H9" s="3">
        <v>2023</v>
      </c>
      <c r="I9" s="2" t="s">
        <v>23</v>
      </c>
      <c r="J9" s="4">
        <v>45657</v>
      </c>
      <c r="K9" s="2" t="s">
        <v>79</v>
      </c>
      <c r="L9" s="2" t="s">
        <v>36</v>
      </c>
      <c r="M9" s="3" t="s">
        <v>123</v>
      </c>
      <c r="N9" s="5" t="s">
        <v>5</v>
      </c>
      <c r="O9" s="3" t="s">
        <v>93</v>
      </c>
    </row>
    <row r="10" spans="1:16" x14ac:dyDescent="0.35">
      <c r="A10" s="2">
        <v>8</v>
      </c>
      <c r="B10" s="3" t="s">
        <v>100</v>
      </c>
      <c r="C10" s="2" t="s">
        <v>33</v>
      </c>
      <c r="D10" s="2" t="s">
        <v>101</v>
      </c>
      <c r="E10" s="2" t="s">
        <v>341</v>
      </c>
      <c r="F10" s="2" t="s">
        <v>55</v>
      </c>
      <c r="G10" s="2">
        <v>1994</v>
      </c>
      <c r="H10" s="2" t="s">
        <v>165</v>
      </c>
      <c r="I10" s="2" t="s">
        <v>12</v>
      </c>
      <c r="K10" s="2" t="s">
        <v>102</v>
      </c>
      <c r="L10" s="2" t="s">
        <v>40</v>
      </c>
      <c r="M10" s="3" t="s">
        <v>123</v>
      </c>
      <c r="N10" s="5" t="s">
        <v>5</v>
      </c>
      <c r="O10" s="3" t="s">
        <v>374</v>
      </c>
    </row>
    <row r="11" spans="1:16" ht="29" x14ac:dyDescent="0.35">
      <c r="A11" s="2">
        <v>9</v>
      </c>
      <c r="B11" s="3" t="s">
        <v>103</v>
      </c>
      <c r="C11" s="2" t="s">
        <v>33</v>
      </c>
      <c r="D11" s="2" t="s">
        <v>101</v>
      </c>
      <c r="E11" s="2" t="s">
        <v>341</v>
      </c>
      <c r="F11" s="2" t="s">
        <v>55</v>
      </c>
      <c r="G11" s="2">
        <v>1994</v>
      </c>
      <c r="H11" s="2" t="s">
        <v>165</v>
      </c>
      <c r="I11" s="2" t="s">
        <v>12</v>
      </c>
      <c r="K11" s="2" t="s">
        <v>102</v>
      </c>
      <c r="L11" s="2" t="s">
        <v>40</v>
      </c>
      <c r="M11" s="3" t="s">
        <v>123</v>
      </c>
      <c r="N11" s="5" t="s">
        <v>5</v>
      </c>
      <c r="O11" s="3" t="s">
        <v>373</v>
      </c>
    </row>
    <row r="12" spans="1:16" x14ac:dyDescent="0.35">
      <c r="A12" s="2">
        <v>10</v>
      </c>
      <c r="B12" s="3" t="s">
        <v>104</v>
      </c>
      <c r="C12" s="2" t="s">
        <v>33</v>
      </c>
      <c r="D12" s="2" t="s">
        <v>26</v>
      </c>
      <c r="E12" s="2" t="s">
        <v>85</v>
      </c>
      <c r="F12" s="2" t="s">
        <v>53</v>
      </c>
      <c r="G12" s="2">
        <v>2015</v>
      </c>
      <c r="H12" s="3">
        <v>2023</v>
      </c>
      <c r="I12" s="2" t="s">
        <v>23</v>
      </c>
      <c r="J12" s="4">
        <v>45645</v>
      </c>
      <c r="K12" s="2" t="s">
        <v>79</v>
      </c>
      <c r="L12" s="2" t="s">
        <v>36</v>
      </c>
      <c r="M12" s="3" t="s">
        <v>123</v>
      </c>
      <c r="N12" s="5" t="s">
        <v>5</v>
      </c>
      <c r="O12" s="3" t="s">
        <v>375</v>
      </c>
    </row>
    <row r="13" spans="1:16" ht="29" x14ac:dyDescent="0.35">
      <c r="A13" s="2">
        <v>11</v>
      </c>
      <c r="B13" s="3" t="s">
        <v>108</v>
      </c>
      <c r="C13" s="2" t="s">
        <v>33</v>
      </c>
      <c r="D13" s="2" t="s">
        <v>118</v>
      </c>
      <c r="E13" s="2" t="s">
        <v>85</v>
      </c>
      <c r="F13" s="2" t="s">
        <v>50</v>
      </c>
      <c r="G13" s="2">
        <v>2008</v>
      </c>
      <c r="H13" s="3">
        <v>2016</v>
      </c>
      <c r="I13" s="2" t="s">
        <v>23</v>
      </c>
      <c r="J13" s="4">
        <v>43370</v>
      </c>
      <c r="K13" s="2" t="s">
        <v>79</v>
      </c>
      <c r="L13" s="2" t="s">
        <v>36</v>
      </c>
      <c r="M13" s="3" t="s">
        <v>123</v>
      </c>
      <c r="N13" s="5" t="s">
        <v>5</v>
      </c>
      <c r="O13" s="3" t="s">
        <v>371</v>
      </c>
    </row>
    <row r="14" spans="1:16" x14ac:dyDescent="0.35">
      <c r="A14" s="2">
        <v>12</v>
      </c>
      <c r="B14" s="3" t="s">
        <v>110</v>
      </c>
      <c r="C14" s="2" t="s">
        <v>33</v>
      </c>
      <c r="D14" s="2" t="s">
        <v>118</v>
      </c>
      <c r="E14" s="2" t="s">
        <v>85</v>
      </c>
      <c r="F14" s="3" t="s">
        <v>50</v>
      </c>
      <c r="G14" s="2">
        <v>2001</v>
      </c>
      <c r="H14" s="3">
        <v>2016</v>
      </c>
      <c r="I14" s="2" t="s">
        <v>14</v>
      </c>
      <c r="J14" s="4">
        <v>42370</v>
      </c>
      <c r="K14" s="2" t="s">
        <v>111</v>
      </c>
      <c r="L14" s="2" t="s">
        <v>36</v>
      </c>
      <c r="M14" s="3" t="s">
        <v>123</v>
      </c>
      <c r="N14" s="5" t="s">
        <v>5</v>
      </c>
      <c r="O14" s="3" t="s">
        <v>112</v>
      </c>
      <c r="P14" s="2">
        <v>4</v>
      </c>
    </row>
    <row r="15" spans="1:16" x14ac:dyDescent="0.35">
      <c r="A15" s="2">
        <v>13</v>
      </c>
      <c r="B15" s="3" t="s">
        <v>113</v>
      </c>
      <c r="C15" s="2" t="s">
        <v>33</v>
      </c>
      <c r="D15" s="2" t="s">
        <v>115</v>
      </c>
      <c r="E15" s="2" t="s">
        <v>85</v>
      </c>
      <c r="F15" s="2" t="s">
        <v>53</v>
      </c>
      <c r="G15" s="2">
        <v>2022</v>
      </c>
      <c r="H15" s="3">
        <v>2024</v>
      </c>
      <c r="I15" s="2" t="s">
        <v>16</v>
      </c>
      <c r="J15" s="4">
        <v>45700</v>
      </c>
      <c r="K15" s="2" t="s">
        <v>114</v>
      </c>
      <c r="L15" s="2" t="s">
        <v>36</v>
      </c>
      <c r="N15" s="5" t="s">
        <v>5</v>
      </c>
      <c r="O15" s="3" t="s">
        <v>112</v>
      </c>
    </row>
    <row r="16" spans="1:16" x14ac:dyDescent="0.35">
      <c r="A16" s="2">
        <v>14</v>
      </c>
      <c r="B16" s="3" t="s">
        <v>119</v>
      </c>
      <c r="C16" s="2" t="s">
        <v>33</v>
      </c>
      <c r="D16" s="2" t="s">
        <v>118</v>
      </c>
      <c r="E16" s="2" t="s">
        <v>81</v>
      </c>
      <c r="F16" s="2" t="s">
        <v>42</v>
      </c>
      <c r="G16" s="2">
        <v>2005</v>
      </c>
      <c r="H16" s="3">
        <v>2022</v>
      </c>
      <c r="I16" s="2" t="s">
        <v>23</v>
      </c>
      <c r="J16" s="4">
        <v>45561</v>
      </c>
      <c r="K16" s="2" t="s">
        <v>79</v>
      </c>
      <c r="L16" s="2" t="s">
        <v>36</v>
      </c>
      <c r="M16" s="3" t="s">
        <v>123</v>
      </c>
      <c r="N16" s="5" t="s">
        <v>5</v>
      </c>
      <c r="O16" s="3" t="s">
        <v>92</v>
      </c>
    </row>
    <row r="17" spans="1:16" x14ac:dyDescent="0.35">
      <c r="A17" s="2">
        <v>15</v>
      </c>
      <c r="B17" s="3" t="s">
        <v>121</v>
      </c>
      <c r="C17" s="2" t="s">
        <v>33</v>
      </c>
      <c r="D17" s="2" t="s">
        <v>118</v>
      </c>
      <c r="E17" s="2" t="s">
        <v>85</v>
      </c>
      <c r="F17" s="2" t="s">
        <v>53</v>
      </c>
      <c r="G17" s="2">
        <v>1995</v>
      </c>
      <c r="H17" s="3">
        <v>2023</v>
      </c>
      <c r="I17" s="2" t="s">
        <v>23</v>
      </c>
      <c r="J17" s="4">
        <v>45562</v>
      </c>
      <c r="K17" s="2" t="s">
        <v>122</v>
      </c>
      <c r="L17" s="2" t="s">
        <v>36</v>
      </c>
      <c r="M17" s="3" t="s">
        <v>123</v>
      </c>
      <c r="N17" s="5" t="s">
        <v>5</v>
      </c>
      <c r="O17" s="3" t="s">
        <v>120</v>
      </c>
    </row>
    <row r="18" spans="1:16" ht="43.5" x14ac:dyDescent="0.35">
      <c r="A18" s="2">
        <v>16</v>
      </c>
      <c r="B18" s="3" t="s">
        <v>127</v>
      </c>
      <c r="C18" s="2" t="s">
        <v>33</v>
      </c>
      <c r="D18" s="2" t="s">
        <v>31</v>
      </c>
      <c r="E18" s="2" t="s">
        <v>85</v>
      </c>
      <c r="F18" s="3" t="s">
        <v>55</v>
      </c>
      <c r="G18" s="3">
        <v>2024</v>
      </c>
      <c r="H18" s="3">
        <v>2024</v>
      </c>
      <c r="I18" s="2" t="s">
        <v>12</v>
      </c>
      <c r="J18" s="4">
        <v>45453</v>
      </c>
      <c r="K18" s="2" t="s">
        <v>128</v>
      </c>
      <c r="L18" s="2" t="s">
        <v>36</v>
      </c>
      <c r="M18" s="3" t="s">
        <v>123</v>
      </c>
      <c r="N18" s="5" t="s">
        <v>5</v>
      </c>
      <c r="O18" s="3" t="s">
        <v>376</v>
      </c>
    </row>
    <row r="19" spans="1:16" ht="29" x14ac:dyDescent="0.35">
      <c r="A19" s="2">
        <v>17</v>
      </c>
      <c r="B19" s="3" t="s">
        <v>129</v>
      </c>
      <c r="C19" s="2" t="s">
        <v>33</v>
      </c>
      <c r="D19" s="2" t="s">
        <v>31</v>
      </c>
      <c r="E19" s="2" t="s">
        <v>85</v>
      </c>
      <c r="F19" s="3" t="s">
        <v>55</v>
      </c>
      <c r="G19" s="3">
        <v>2024</v>
      </c>
      <c r="H19" s="3">
        <v>2024</v>
      </c>
      <c r="I19" s="2" t="s">
        <v>14</v>
      </c>
      <c r="J19" s="4">
        <v>45639</v>
      </c>
      <c r="K19" s="2" t="s">
        <v>122</v>
      </c>
      <c r="L19" s="2" t="s">
        <v>36</v>
      </c>
      <c r="M19" s="6" t="s">
        <v>5</v>
      </c>
      <c r="N19" s="5" t="s">
        <v>5</v>
      </c>
      <c r="O19" s="3" t="s">
        <v>367</v>
      </c>
    </row>
    <row r="20" spans="1:16" x14ac:dyDescent="0.35">
      <c r="A20" s="2">
        <v>18</v>
      </c>
      <c r="B20" s="3" t="s">
        <v>131</v>
      </c>
      <c r="C20" s="2" t="s">
        <v>33</v>
      </c>
      <c r="D20" s="2" t="s">
        <v>31</v>
      </c>
      <c r="E20" s="2" t="s">
        <v>85</v>
      </c>
      <c r="F20" s="3" t="s">
        <v>55</v>
      </c>
      <c r="G20" s="3">
        <v>2024</v>
      </c>
      <c r="H20" s="3">
        <v>2024</v>
      </c>
      <c r="I20" s="2" t="s">
        <v>14</v>
      </c>
      <c r="J20" s="4">
        <v>45639</v>
      </c>
      <c r="K20" s="2" t="s">
        <v>122</v>
      </c>
      <c r="L20" s="2" t="s">
        <v>36</v>
      </c>
      <c r="M20" s="7" t="s">
        <v>5</v>
      </c>
      <c r="N20" s="5" t="s">
        <v>5</v>
      </c>
      <c r="O20" s="3" t="s">
        <v>130</v>
      </c>
    </row>
    <row r="21" spans="1:16" x14ac:dyDescent="0.35">
      <c r="A21" s="2">
        <v>19</v>
      </c>
      <c r="B21" s="3" t="s">
        <v>132</v>
      </c>
      <c r="C21" s="2" t="s">
        <v>33</v>
      </c>
      <c r="D21" s="2" t="s">
        <v>31</v>
      </c>
      <c r="E21" s="2" t="s">
        <v>85</v>
      </c>
      <c r="F21" s="3" t="s">
        <v>55</v>
      </c>
      <c r="G21" s="3">
        <v>2024</v>
      </c>
      <c r="H21" s="3">
        <v>2024</v>
      </c>
      <c r="I21" s="2" t="s">
        <v>14</v>
      </c>
      <c r="J21" s="4">
        <v>45639</v>
      </c>
      <c r="K21" s="2" t="s">
        <v>122</v>
      </c>
      <c r="L21" s="2" t="s">
        <v>36</v>
      </c>
      <c r="M21" s="7" t="s">
        <v>5</v>
      </c>
      <c r="N21" s="5" t="s">
        <v>5</v>
      </c>
      <c r="O21" s="3" t="s">
        <v>130</v>
      </c>
    </row>
    <row r="22" spans="1:16" x14ac:dyDescent="0.35">
      <c r="A22" s="2">
        <v>20</v>
      </c>
      <c r="B22" s="3" t="s">
        <v>133</v>
      </c>
      <c r="C22" s="2" t="s">
        <v>33</v>
      </c>
      <c r="D22" s="2" t="s">
        <v>31</v>
      </c>
      <c r="E22" s="2" t="s">
        <v>85</v>
      </c>
      <c r="F22" s="3" t="s">
        <v>55</v>
      </c>
      <c r="G22" s="3">
        <v>2024</v>
      </c>
      <c r="H22" s="3">
        <v>2024</v>
      </c>
      <c r="I22" s="2" t="s">
        <v>14</v>
      </c>
      <c r="J22" s="4">
        <v>45639</v>
      </c>
      <c r="K22" s="2" t="s">
        <v>122</v>
      </c>
      <c r="L22" s="2" t="s">
        <v>36</v>
      </c>
      <c r="M22" s="7" t="s">
        <v>5</v>
      </c>
      <c r="N22" s="5" t="s">
        <v>5</v>
      </c>
      <c r="O22" s="3" t="s">
        <v>130</v>
      </c>
    </row>
    <row r="23" spans="1:16" x14ac:dyDescent="0.35">
      <c r="A23" s="2">
        <v>21</v>
      </c>
      <c r="B23" s="3" t="s">
        <v>134</v>
      </c>
      <c r="C23" s="2" t="s">
        <v>33</v>
      </c>
      <c r="D23" s="2" t="s">
        <v>31</v>
      </c>
      <c r="E23" s="2" t="s">
        <v>85</v>
      </c>
      <c r="F23" s="3" t="s">
        <v>55</v>
      </c>
      <c r="G23" s="3">
        <v>2024</v>
      </c>
      <c r="H23" s="3">
        <v>2024</v>
      </c>
      <c r="I23" s="2" t="s">
        <v>14</v>
      </c>
      <c r="J23" s="4">
        <v>45639</v>
      </c>
      <c r="K23" s="2" t="s">
        <v>122</v>
      </c>
      <c r="L23" s="2" t="s">
        <v>36</v>
      </c>
      <c r="M23" s="7" t="s">
        <v>5</v>
      </c>
      <c r="N23" s="5" t="s">
        <v>5</v>
      </c>
      <c r="O23" s="3" t="s">
        <v>130</v>
      </c>
    </row>
    <row r="24" spans="1:16" x14ac:dyDescent="0.35">
      <c r="A24" s="2">
        <v>22</v>
      </c>
      <c r="B24" s="3" t="s">
        <v>192</v>
      </c>
      <c r="C24" s="2" t="s">
        <v>33</v>
      </c>
      <c r="D24" s="2" t="s">
        <v>29</v>
      </c>
      <c r="E24" s="2" t="s">
        <v>85</v>
      </c>
      <c r="F24" s="3" t="s">
        <v>55</v>
      </c>
      <c r="G24" s="3">
        <v>2016</v>
      </c>
      <c r="H24" s="3">
        <v>2016</v>
      </c>
      <c r="I24" s="2" t="s">
        <v>14</v>
      </c>
      <c r="J24" s="4">
        <v>42647</v>
      </c>
      <c r="K24" s="2" t="s">
        <v>135</v>
      </c>
      <c r="L24" s="2" t="s">
        <v>36</v>
      </c>
      <c r="M24" s="7" t="s">
        <v>5</v>
      </c>
      <c r="N24" s="5" t="s">
        <v>5</v>
      </c>
      <c r="O24" s="3" t="s">
        <v>130</v>
      </c>
    </row>
    <row r="25" spans="1:16" x14ac:dyDescent="0.35">
      <c r="A25" s="2">
        <v>23</v>
      </c>
      <c r="B25" s="3" t="s">
        <v>191</v>
      </c>
      <c r="C25" s="2" t="s">
        <v>33</v>
      </c>
      <c r="D25" s="2" t="s">
        <v>29</v>
      </c>
      <c r="E25" s="2" t="s">
        <v>85</v>
      </c>
      <c r="F25" s="3" t="s">
        <v>55</v>
      </c>
      <c r="G25" s="3">
        <v>2023</v>
      </c>
      <c r="H25" s="3">
        <v>2023</v>
      </c>
      <c r="I25" s="2" t="s">
        <v>14</v>
      </c>
      <c r="J25" s="4">
        <v>44943</v>
      </c>
      <c r="K25" s="2" t="s">
        <v>122</v>
      </c>
      <c r="L25" s="2" t="s">
        <v>36</v>
      </c>
      <c r="M25" s="7" t="s">
        <v>5</v>
      </c>
      <c r="N25" s="5" t="s">
        <v>5</v>
      </c>
      <c r="O25" s="3" t="s">
        <v>130</v>
      </c>
    </row>
    <row r="26" spans="1:16" x14ac:dyDescent="0.35">
      <c r="A26" s="2">
        <v>24</v>
      </c>
      <c r="B26" s="3" t="s">
        <v>136</v>
      </c>
      <c r="C26" s="2" t="s">
        <v>33</v>
      </c>
      <c r="D26" s="2" t="s">
        <v>31</v>
      </c>
      <c r="E26" s="2" t="s">
        <v>85</v>
      </c>
      <c r="F26" s="3" t="s">
        <v>55</v>
      </c>
      <c r="G26" s="3">
        <v>2019</v>
      </c>
      <c r="H26" s="3">
        <v>2019</v>
      </c>
      <c r="I26" s="2" t="s">
        <v>14</v>
      </c>
      <c r="J26" s="4">
        <v>43642</v>
      </c>
      <c r="K26" s="2" t="s">
        <v>137</v>
      </c>
      <c r="L26" s="2" t="s">
        <v>36</v>
      </c>
      <c r="M26" s="7" t="s">
        <v>5</v>
      </c>
      <c r="N26" s="5" t="s">
        <v>5</v>
      </c>
      <c r="O26" s="3" t="s">
        <v>130</v>
      </c>
    </row>
    <row r="27" spans="1:16" x14ac:dyDescent="0.35">
      <c r="A27" s="2">
        <v>25</v>
      </c>
      <c r="B27" s="3" t="s">
        <v>140</v>
      </c>
      <c r="C27" s="2" t="s">
        <v>33</v>
      </c>
      <c r="D27" s="2" t="s">
        <v>28</v>
      </c>
      <c r="E27" s="2" t="s">
        <v>85</v>
      </c>
      <c r="F27" s="3" t="s">
        <v>55</v>
      </c>
      <c r="G27" s="3">
        <v>2023</v>
      </c>
      <c r="H27" s="3">
        <v>2023</v>
      </c>
      <c r="I27" s="2" t="s">
        <v>83</v>
      </c>
      <c r="J27" s="4">
        <v>45739</v>
      </c>
      <c r="K27" s="2" t="s">
        <v>160</v>
      </c>
      <c r="L27" s="2" t="s">
        <v>38</v>
      </c>
      <c r="M27" s="7" t="s">
        <v>5</v>
      </c>
      <c r="N27" s="5" t="s">
        <v>5</v>
      </c>
      <c r="O27" s="3" t="s">
        <v>325</v>
      </c>
      <c r="P27" s="2">
        <v>4</v>
      </c>
    </row>
    <row r="28" spans="1:16" x14ac:dyDescent="0.35">
      <c r="A28" s="2">
        <v>26</v>
      </c>
      <c r="B28" s="3" t="s">
        <v>141</v>
      </c>
      <c r="C28" s="2" t="s">
        <v>33</v>
      </c>
      <c r="D28" s="2" t="s">
        <v>28</v>
      </c>
      <c r="E28" s="2" t="s">
        <v>85</v>
      </c>
      <c r="F28" s="3" t="s">
        <v>55</v>
      </c>
      <c r="G28" s="3">
        <v>2023</v>
      </c>
      <c r="H28" s="3">
        <v>2023</v>
      </c>
      <c r="I28" s="2" t="s">
        <v>83</v>
      </c>
      <c r="J28" s="4">
        <v>45739</v>
      </c>
      <c r="K28" s="2" t="s">
        <v>160</v>
      </c>
      <c r="L28" s="2" t="s">
        <v>38</v>
      </c>
      <c r="M28" s="3"/>
      <c r="N28" s="5"/>
      <c r="O28" s="3" t="s">
        <v>325</v>
      </c>
      <c r="P28" s="2">
        <v>4</v>
      </c>
    </row>
    <row r="29" spans="1:16" x14ac:dyDescent="0.35">
      <c r="A29" s="2">
        <v>27</v>
      </c>
      <c r="B29" s="3" t="s">
        <v>142</v>
      </c>
      <c r="C29" s="2" t="s">
        <v>33</v>
      </c>
      <c r="D29" s="2" t="s">
        <v>28</v>
      </c>
      <c r="E29" s="2" t="s">
        <v>85</v>
      </c>
      <c r="F29" s="3" t="s">
        <v>55</v>
      </c>
      <c r="G29" s="3">
        <v>2023</v>
      </c>
      <c r="H29" s="3">
        <v>2023</v>
      </c>
      <c r="I29" s="2" t="s">
        <v>83</v>
      </c>
      <c r="J29" s="4">
        <v>45739</v>
      </c>
      <c r="K29" s="2" t="s">
        <v>160</v>
      </c>
      <c r="L29" s="2" t="s">
        <v>38</v>
      </c>
      <c r="M29" s="7" t="s">
        <v>5</v>
      </c>
      <c r="N29" s="5" t="s">
        <v>5</v>
      </c>
      <c r="O29" s="3" t="s">
        <v>325</v>
      </c>
      <c r="P29" s="2">
        <v>4</v>
      </c>
    </row>
    <row r="30" spans="1:16" x14ac:dyDescent="0.35">
      <c r="A30" s="2">
        <v>28</v>
      </c>
      <c r="B30" s="3" t="s">
        <v>143</v>
      </c>
      <c r="C30" s="2" t="s">
        <v>33</v>
      </c>
      <c r="D30" s="2" t="s">
        <v>28</v>
      </c>
      <c r="E30" s="2" t="s">
        <v>85</v>
      </c>
      <c r="F30" s="3" t="s">
        <v>55</v>
      </c>
      <c r="G30" s="3">
        <v>2023</v>
      </c>
      <c r="H30" s="3">
        <v>2023</v>
      </c>
      <c r="I30" s="2" t="s">
        <v>83</v>
      </c>
      <c r="J30" s="4">
        <v>45739</v>
      </c>
      <c r="K30" s="2" t="s">
        <v>160</v>
      </c>
      <c r="L30" s="2" t="s">
        <v>38</v>
      </c>
      <c r="M30" s="7" t="s">
        <v>5</v>
      </c>
      <c r="N30" s="5" t="s">
        <v>5</v>
      </c>
      <c r="O30" s="3" t="s">
        <v>325</v>
      </c>
      <c r="P30" s="2">
        <v>4</v>
      </c>
    </row>
    <row r="31" spans="1:16" x14ac:dyDescent="0.35">
      <c r="A31" s="2">
        <v>29</v>
      </c>
      <c r="B31" s="3" t="s">
        <v>144</v>
      </c>
      <c r="C31" s="2" t="s">
        <v>33</v>
      </c>
      <c r="D31" s="2" t="s">
        <v>28</v>
      </c>
      <c r="E31" s="2" t="s">
        <v>85</v>
      </c>
      <c r="F31" s="3" t="s">
        <v>55</v>
      </c>
      <c r="G31" s="3">
        <v>2023</v>
      </c>
      <c r="H31" s="3">
        <v>2023</v>
      </c>
      <c r="I31" s="2" t="s">
        <v>83</v>
      </c>
      <c r="J31" s="4">
        <v>45739</v>
      </c>
      <c r="K31" s="2" t="s">
        <v>160</v>
      </c>
      <c r="L31" s="2" t="s">
        <v>38</v>
      </c>
      <c r="M31" s="7" t="s">
        <v>5</v>
      </c>
      <c r="N31" s="5" t="s">
        <v>5</v>
      </c>
      <c r="O31" s="3" t="s">
        <v>325</v>
      </c>
      <c r="P31" s="2">
        <v>4</v>
      </c>
    </row>
    <row r="32" spans="1:16" x14ac:dyDescent="0.35">
      <c r="A32" s="2">
        <v>30</v>
      </c>
      <c r="B32" s="3" t="s">
        <v>145</v>
      </c>
      <c r="C32" s="2" t="s">
        <v>33</v>
      </c>
      <c r="D32" s="2" t="s">
        <v>28</v>
      </c>
      <c r="E32" s="2" t="s">
        <v>85</v>
      </c>
      <c r="F32" s="3" t="s">
        <v>55</v>
      </c>
      <c r="G32" s="3">
        <v>2023</v>
      </c>
      <c r="H32" s="3">
        <v>2023</v>
      </c>
      <c r="I32" s="2" t="s">
        <v>83</v>
      </c>
      <c r="J32" s="4">
        <v>45739</v>
      </c>
      <c r="K32" s="2" t="s">
        <v>160</v>
      </c>
      <c r="L32" s="2" t="s">
        <v>38</v>
      </c>
      <c r="M32" s="7" t="s">
        <v>5</v>
      </c>
      <c r="N32" s="5" t="s">
        <v>5</v>
      </c>
      <c r="O32" s="3" t="s">
        <v>325</v>
      </c>
      <c r="P32" s="2">
        <v>4</v>
      </c>
    </row>
    <row r="33" spans="1:29" x14ac:dyDescent="0.35">
      <c r="A33" s="2">
        <v>31</v>
      </c>
      <c r="B33" s="3" t="s">
        <v>146</v>
      </c>
      <c r="C33" s="2" t="s">
        <v>33</v>
      </c>
      <c r="D33" s="2" t="s">
        <v>28</v>
      </c>
      <c r="E33" s="2" t="s">
        <v>85</v>
      </c>
      <c r="F33" s="3" t="s">
        <v>55</v>
      </c>
      <c r="G33" s="3">
        <v>2023</v>
      </c>
      <c r="H33" s="3">
        <v>2023</v>
      </c>
      <c r="I33" s="2" t="s">
        <v>83</v>
      </c>
      <c r="J33" s="4">
        <v>45739</v>
      </c>
      <c r="K33" s="2" t="s">
        <v>160</v>
      </c>
      <c r="L33" s="2" t="s">
        <v>38</v>
      </c>
      <c r="M33" s="7" t="s">
        <v>5</v>
      </c>
      <c r="N33" s="5" t="s">
        <v>5</v>
      </c>
      <c r="O33" s="3" t="s">
        <v>325</v>
      </c>
      <c r="P33" s="2">
        <v>4</v>
      </c>
    </row>
    <row r="34" spans="1:29" x14ac:dyDescent="0.35">
      <c r="A34" s="2">
        <v>32</v>
      </c>
      <c r="B34" s="3" t="s">
        <v>147</v>
      </c>
      <c r="C34" s="2" t="s">
        <v>33</v>
      </c>
      <c r="D34" s="2" t="s">
        <v>28</v>
      </c>
      <c r="E34" s="2" t="s">
        <v>85</v>
      </c>
      <c r="F34" s="3" t="s">
        <v>55</v>
      </c>
      <c r="G34" s="3">
        <v>2023</v>
      </c>
      <c r="H34" s="3">
        <v>2023</v>
      </c>
      <c r="I34" s="2" t="s">
        <v>83</v>
      </c>
      <c r="J34" s="4">
        <v>45739</v>
      </c>
      <c r="K34" s="2" t="s">
        <v>160</v>
      </c>
      <c r="L34" s="2" t="s">
        <v>38</v>
      </c>
      <c r="M34" s="7" t="s">
        <v>5</v>
      </c>
      <c r="N34" s="5" t="s">
        <v>5</v>
      </c>
      <c r="O34" s="3" t="s">
        <v>325</v>
      </c>
      <c r="P34" s="2">
        <v>4</v>
      </c>
    </row>
    <row r="35" spans="1:29" x14ac:dyDescent="0.35">
      <c r="A35" s="2">
        <v>33</v>
      </c>
      <c r="B35" s="3" t="s">
        <v>148</v>
      </c>
      <c r="C35" s="2" t="s">
        <v>33</v>
      </c>
      <c r="D35" s="2" t="s">
        <v>28</v>
      </c>
      <c r="E35" s="2" t="s">
        <v>85</v>
      </c>
      <c r="F35" s="3" t="s">
        <v>55</v>
      </c>
      <c r="G35" s="3">
        <v>2023</v>
      </c>
      <c r="H35" s="3">
        <v>2023</v>
      </c>
      <c r="I35" s="2" t="s">
        <v>83</v>
      </c>
      <c r="J35" s="4">
        <v>45739</v>
      </c>
      <c r="K35" s="2" t="s">
        <v>160</v>
      </c>
      <c r="L35" s="2" t="s">
        <v>38</v>
      </c>
      <c r="M35" s="7" t="s">
        <v>5</v>
      </c>
      <c r="N35" s="5" t="s">
        <v>5</v>
      </c>
      <c r="O35" s="3" t="s">
        <v>325</v>
      </c>
      <c r="P35" s="2">
        <v>4</v>
      </c>
    </row>
    <row r="36" spans="1:29" x14ac:dyDescent="0.35">
      <c r="A36" s="2">
        <v>34</v>
      </c>
      <c r="B36" s="3" t="s">
        <v>149</v>
      </c>
      <c r="C36" s="2" t="s">
        <v>33</v>
      </c>
      <c r="D36" s="2" t="s">
        <v>28</v>
      </c>
      <c r="E36" s="2" t="s">
        <v>85</v>
      </c>
      <c r="F36" s="3" t="s">
        <v>55</v>
      </c>
      <c r="G36" s="3">
        <v>2023</v>
      </c>
      <c r="H36" s="3">
        <v>2023</v>
      </c>
      <c r="I36" s="2" t="s">
        <v>83</v>
      </c>
      <c r="J36" s="4">
        <v>45739</v>
      </c>
      <c r="K36" s="2" t="s">
        <v>160</v>
      </c>
      <c r="L36" s="2" t="s">
        <v>38</v>
      </c>
      <c r="M36" s="7" t="s">
        <v>5</v>
      </c>
      <c r="N36" s="5" t="s">
        <v>5</v>
      </c>
      <c r="O36" s="3" t="s">
        <v>325</v>
      </c>
      <c r="P36" s="2">
        <v>4</v>
      </c>
      <c r="Q36" s="3"/>
      <c r="X36" s="4"/>
      <c r="AC36" s="3"/>
    </row>
    <row r="37" spans="1:29" x14ac:dyDescent="0.35">
      <c r="A37" s="2">
        <v>35</v>
      </c>
      <c r="B37" s="3" t="s">
        <v>150</v>
      </c>
      <c r="C37" s="2" t="s">
        <v>33</v>
      </c>
      <c r="D37" s="2" t="s">
        <v>28</v>
      </c>
      <c r="E37" s="2" t="s">
        <v>85</v>
      </c>
      <c r="F37" s="3" t="s">
        <v>55</v>
      </c>
      <c r="G37" s="3">
        <v>2023</v>
      </c>
      <c r="H37" s="3">
        <v>2023</v>
      </c>
      <c r="I37" s="2" t="s">
        <v>83</v>
      </c>
      <c r="J37" s="4">
        <v>45739</v>
      </c>
      <c r="K37" s="2" t="s">
        <v>160</v>
      </c>
      <c r="L37" s="2" t="s">
        <v>38</v>
      </c>
      <c r="M37" s="7" t="s">
        <v>5</v>
      </c>
      <c r="N37" s="5" t="s">
        <v>5</v>
      </c>
      <c r="O37" s="3" t="s">
        <v>325</v>
      </c>
      <c r="P37" s="2">
        <v>4</v>
      </c>
      <c r="Q37" s="3"/>
      <c r="AC37" s="3"/>
    </row>
    <row r="38" spans="1:29" x14ac:dyDescent="0.35">
      <c r="A38" s="2">
        <v>36</v>
      </c>
      <c r="B38" s="3" t="s">
        <v>151</v>
      </c>
      <c r="C38" s="2" t="s">
        <v>33</v>
      </c>
      <c r="D38" s="2" t="s">
        <v>28</v>
      </c>
      <c r="E38" s="2" t="s">
        <v>85</v>
      </c>
      <c r="F38" s="3" t="s">
        <v>55</v>
      </c>
      <c r="G38" s="3">
        <v>2023</v>
      </c>
      <c r="H38" s="3">
        <v>2023</v>
      </c>
      <c r="I38" s="2" t="s">
        <v>83</v>
      </c>
      <c r="J38" s="4">
        <v>45739</v>
      </c>
      <c r="K38" s="2" t="s">
        <v>160</v>
      </c>
      <c r="L38" s="2" t="s">
        <v>38</v>
      </c>
      <c r="M38" s="7" t="s">
        <v>5</v>
      </c>
      <c r="N38" s="5" t="s">
        <v>5</v>
      </c>
      <c r="O38" s="3" t="s">
        <v>325</v>
      </c>
      <c r="P38" s="2">
        <v>4</v>
      </c>
    </row>
    <row r="39" spans="1:29" x14ac:dyDescent="0.35">
      <c r="A39" s="2">
        <v>37</v>
      </c>
      <c r="B39" s="3" t="s">
        <v>152</v>
      </c>
      <c r="C39" s="2" t="s">
        <v>33</v>
      </c>
      <c r="D39" s="2" t="s">
        <v>28</v>
      </c>
      <c r="E39" s="2" t="s">
        <v>85</v>
      </c>
      <c r="F39" s="3" t="s">
        <v>55</v>
      </c>
      <c r="G39" s="3">
        <v>2023</v>
      </c>
      <c r="H39" s="3">
        <v>2023</v>
      </c>
      <c r="I39" s="2" t="s">
        <v>83</v>
      </c>
      <c r="J39" s="4">
        <v>45739</v>
      </c>
      <c r="K39" s="2" t="s">
        <v>160</v>
      </c>
      <c r="L39" s="2" t="s">
        <v>38</v>
      </c>
      <c r="M39" s="7" t="s">
        <v>5</v>
      </c>
      <c r="N39" s="5" t="s">
        <v>5</v>
      </c>
      <c r="O39" s="3" t="s">
        <v>325</v>
      </c>
      <c r="P39" s="2">
        <v>4</v>
      </c>
    </row>
    <row r="40" spans="1:29" x14ac:dyDescent="0.35">
      <c r="A40" s="2">
        <v>38</v>
      </c>
      <c r="B40" s="3" t="s">
        <v>153</v>
      </c>
      <c r="C40" s="2" t="s">
        <v>33</v>
      </c>
      <c r="D40" s="2" t="s">
        <v>28</v>
      </c>
      <c r="E40" s="2" t="s">
        <v>85</v>
      </c>
      <c r="F40" s="3" t="s">
        <v>55</v>
      </c>
      <c r="G40" s="3">
        <v>2023</v>
      </c>
      <c r="H40" s="3">
        <v>2023</v>
      </c>
      <c r="I40" s="2" t="s">
        <v>83</v>
      </c>
      <c r="J40" s="4">
        <v>45739</v>
      </c>
      <c r="K40" s="2" t="s">
        <v>160</v>
      </c>
      <c r="L40" s="2" t="s">
        <v>38</v>
      </c>
      <c r="M40" s="7" t="s">
        <v>5</v>
      </c>
      <c r="N40" s="5" t="s">
        <v>5</v>
      </c>
      <c r="O40" s="3" t="s">
        <v>325</v>
      </c>
      <c r="P40" s="2">
        <v>4</v>
      </c>
    </row>
    <row r="41" spans="1:29" x14ac:dyDescent="0.35">
      <c r="A41" s="2">
        <v>39</v>
      </c>
      <c r="B41" s="3" t="s">
        <v>154</v>
      </c>
      <c r="C41" s="2" t="s">
        <v>33</v>
      </c>
      <c r="D41" s="2" t="s">
        <v>28</v>
      </c>
      <c r="E41" s="2" t="s">
        <v>85</v>
      </c>
      <c r="F41" s="3" t="s">
        <v>55</v>
      </c>
      <c r="G41" s="3">
        <v>2023</v>
      </c>
      <c r="H41" s="3">
        <v>2023</v>
      </c>
      <c r="I41" s="2" t="s">
        <v>83</v>
      </c>
      <c r="J41" s="4">
        <v>45739</v>
      </c>
      <c r="K41" s="2" t="s">
        <v>160</v>
      </c>
      <c r="L41" s="2" t="s">
        <v>38</v>
      </c>
      <c r="M41" s="7" t="s">
        <v>5</v>
      </c>
      <c r="N41" s="5" t="s">
        <v>5</v>
      </c>
      <c r="O41" s="3" t="s">
        <v>325</v>
      </c>
      <c r="P41" s="2">
        <v>4</v>
      </c>
    </row>
    <row r="42" spans="1:29" x14ac:dyDescent="0.35">
      <c r="A42" s="2">
        <v>40</v>
      </c>
      <c r="B42" s="3" t="s">
        <v>155</v>
      </c>
      <c r="C42" s="2" t="s">
        <v>33</v>
      </c>
      <c r="D42" s="2" t="s">
        <v>28</v>
      </c>
      <c r="E42" s="2" t="s">
        <v>85</v>
      </c>
      <c r="F42" s="3" t="s">
        <v>55</v>
      </c>
      <c r="G42" s="3">
        <v>2023</v>
      </c>
      <c r="H42" s="3">
        <v>2023</v>
      </c>
      <c r="I42" s="2" t="s">
        <v>83</v>
      </c>
      <c r="J42" s="4">
        <v>45739</v>
      </c>
      <c r="K42" s="2" t="s">
        <v>160</v>
      </c>
      <c r="L42" s="2" t="s">
        <v>38</v>
      </c>
      <c r="M42" s="7" t="s">
        <v>5</v>
      </c>
      <c r="N42" s="5" t="s">
        <v>5</v>
      </c>
      <c r="O42" s="3" t="s">
        <v>325</v>
      </c>
      <c r="P42" s="2">
        <v>4</v>
      </c>
    </row>
    <row r="43" spans="1:29" x14ac:dyDescent="0.35">
      <c r="A43" s="2">
        <v>41</v>
      </c>
      <c r="B43" s="3" t="s">
        <v>156</v>
      </c>
      <c r="C43" s="2" t="s">
        <v>33</v>
      </c>
      <c r="D43" s="2" t="s">
        <v>28</v>
      </c>
      <c r="E43" s="2" t="s">
        <v>85</v>
      </c>
      <c r="F43" s="3" t="s">
        <v>55</v>
      </c>
      <c r="G43" s="3">
        <v>2023</v>
      </c>
      <c r="H43" s="3">
        <v>2023</v>
      </c>
      <c r="I43" s="2" t="s">
        <v>83</v>
      </c>
      <c r="J43" s="4">
        <v>45739</v>
      </c>
      <c r="K43" s="2" t="s">
        <v>160</v>
      </c>
      <c r="L43" s="2" t="s">
        <v>38</v>
      </c>
      <c r="M43" s="7" t="s">
        <v>5</v>
      </c>
      <c r="N43" s="5" t="s">
        <v>5</v>
      </c>
      <c r="O43" s="3" t="s">
        <v>325</v>
      </c>
      <c r="P43" s="2">
        <v>4</v>
      </c>
    </row>
    <row r="44" spans="1:29" x14ac:dyDescent="0.35">
      <c r="A44" s="2">
        <v>42</v>
      </c>
      <c r="B44" s="3" t="s">
        <v>157</v>
      </c>
      <c r="C44" s="2" t="s">
        <v>33</v>
      </c>
      <c r="D44" s="2" t="s">
        <v>118</v>
      </c>
      <c r="E44" s="2" t="s">
        <v>85</v>
      </c>
      <c r="F44" s="3" t="s">
        <v>162</v>
      </c>
      <c r="G44" s="3">
        <v>2023</v>
      </c>
      <c r="H44" s="3">
        <v>2023</v>
      </c>
      <c r="I44" s="2" t="s">
        <v>83</v>
      </c>
      <c r="J44" s="4">
        <v>45738</v>
      </c>
      <c r="K44" s="2" t="s">
        <v>160</v>
      </c>
      <c r="L44" s="2" t="s">
        <v>38</v>
      </c>
      <c r="M44" s="7" t="s">
        <v>5</v>
      </c>
      <c r="N44" s="5" t="s">
        <v>5</v>
      </c>
      <c r="O44" s="3" t="s">
        <v>325</v>
      </c>
      <c r="P44" s="2">
        <v>4</v>
      </c>
    </row>
    <row r="45" spans="1:29" x14ac:dyDescent="0.35">
      <c r="A45" s="2">
        <v>43</v>
      </c>
      <c r="B45" s="3" t="s">
        <v>158</v>
      </c>
      <c r="C45" s="2" t="s">
        <v>33</v>
      </c>
      <c r="D45" s="2" t="s">
        <v>28</v>
      </c>
      <c r="E45" s="2" t="s">
        <v>85</v>
      </c>
      <c r="F45" s="3" t="s">
        <v>55</v>
      </c>
      <c r="G45" s="3">
        <v>2025</v>
      </c>
      <c r="H45" s="3">
        <v>2025</v>
      </c>
      <c r="I45" s="2" t="s">
        <v>10</v>
      </c>
      <c r="J45" s="4">
        <f ca="1">TODAY()</f>
        <v>45895</v>
      </c>
      <c r="K45" s="2" t="s">
        <v>160</v>
      </c>
      <c r="L45" s="2" t="s">
        <v>38</v>
      </c>
      <c r="M45" s="7" t="s">
        <v>5</v>
      </c>
      <c r="N45" s="5" t="s">
        <v>5</v>
      </c>
      <c r="O45" s="3" t="s">
        <v>325</v>
      </c>
      <c r="P45" s="2">
        <v>4</v>
      </c>
    </row>
    <row r="46" spans="1:29" x14ac:dyDescent="0.35">
      <c r="A46" s="2">
        <v>44</v>
      </c>
      <c r="B46" s="3" t="s">
        <v>159</v>
      </c>
      <c r="C46" s="2" t="s">
        <v>33</v>
      </c>
      <c r="D46" s="2" t="s">
        <v>28</v>
      </c>
      <c r="E46" s="2" t="s">
        <v>85</v>
      </c>
      <c r="F46" s="3" t="s">
        <v>55</v>
      </c>
      <c r="G46" s="3">
        <v>2023</v>
      </c>
      <c r="H46" s="3">
        <v>2023</v>
      </c>
      <c r="I46" s="2" t="s">
        <v>83</v>
      </c>
      <c r="J46" s="4">
        <v>45740</v>
      </c>
      <c r="K46" s="2" t="s">
        <v>160</v>
      </c>
      <c r="L46" s="2" t="s">
        <v>38</v>
      </c>
      <c r="M46" s="7" t="s">
        <v>5</v>
      </c>
      <c r="N46" s="5" t="s">
        <v>5</v>
      </c>
      <c r="O46" s="3" t="s">
        <v>325</v>
      </c>
      <c r="P46" s="2">
        <v>4</v>
      </c>
    </row>
    <row r="47" spans="1:29" ht="29" x14ac:dyDescent="0.35">
      <c r="A47" s="2">
        <v>45</v>
      </c>
      <c r="B47" s="3" t="s">
        <v>164</v>
      </c>
      <c r="C47" s="2" t="s">
        <v>34</v>
      </c>
      <c r="D47" s="2" t="s">
        <v>27</v>
      </c>
      <c r="E47" s="2" t="s">
        <v>85</v>
      </c>
      <c r="F47" s="3" t="s">
        <v>55</v>
      </c>
      <c r="G47" s="2" t="s">
        <v>126</v>
      </c>
      <c r="H47" s="3" t="s">
        <v>165</v>
      </c>
      <c r="I47" s="2" t="s">
        <v>12</v>
      </c>
      <c r="J47" s="4">
        <v>45719</v>
      </c>
      <c r="K47" s="2" t="s">
        <v>90</v>
      </c>
      <c r="L47" s="2" t="s">
        <v>36</v>
      </c>
      <c r="M47" s="3" t="s">
        <v>109</v>
      </c>
      <c r="N47" s="6" t="s">
        <v>5</v>
      </c>
      <c r="O47" s="3" t="s">
        <v>75</v>
      </c>
      <c r="P47" s="2">
        <v>5</v>
      </c>
    </row>
    <row r="48" spans="1:29" ht="29" x14ac:dyDescent="0.35">
      <c r="A48" s="2">
        <v>46</v>
      </c>
      <c r="B48" s="3" t="s">
        <v>166</v>
      </c>
      <c r="C48" s="2" t="s">
        <v>34</v>
      </c>
      <c r="D48" s="2" t="s">
        <v>27</v>
      </c>
      <c r="E48" s="2" t="s">
        <v>85</v>
      </c>
      <c r="F48" s="3" t="s">
        <v>55</v>
      </c>
      <c r="G48" s="3">
        <v>2025</v>
      </c>
      <c r="H48" s="3">
        <v>2025</v>
      </c>
      <c r="I48" s="2" t="s">
        <v>12</v>
      </c>
      <c r="J48" s="4">
        <v>45719</v>
      </c>
      <c r="K48" s="2" t="s">
        <v>90</v>
      </c>
      <c r="L48" s="2" t="s">
        <v>36</v>
      </c>
      <c r="M48" s="3" t="s">
        <v>109</v>
      </c>
      <c r="N48" s="3" t="s">
        <v>91</v>
      </c>
      <c r="O48" s="3" t="s">
        <v>75</v>
      </c>
      <c r="P48" s="2">
        <v>5</v>
      </c>
    </row>
    <row r="49" spans="1:16" x14ac:dyDescent="0.35">
      <c r="A49" s="2">
        <v>47</v>
      </c>
      <c r="B49" s="3" t="s">
        <v>167</v>
      </c>
      <c r="C49" s="2" t="s">
        <v>34</v>
      </c>
      <c r="D49" s="2" t="s">
        <v>101</v>
      </c>
      <c r="E49" s="2" t="s">
        <v>85</v>
      </c>
      <c r="F49" s="3" t="s">
        <v>55</v>
      </c>
      <c r="G49" s="2">
        <v>2003</v>
      </c>
      <c r="H49" s="3" t="s">
        <v>165</v>
      </c>
      <c r="I49" s="2" t="s">
        <v>14</v>
      </c>
      <c r="J49" s="4"/>
      <c r="K49" s="2" t="s">
        <v>90</v>
      </c>
      <c r="L49" s="2" t="s">
        <v>36</v>
      </c>
      <c r="M49" s="3" t="s">
        <v>109</v>
      </c>
      <c r="N49" s="6" t="s">
        <v>5</v>
      </c>
      <c r="O49" s="3" t="s">
        <v>130</v>
      </c>
      <c r="P49" s="2">
        <v>5</v>
      </c>
    </row>
    <row r="50" spans="1:16" x14ac:dyDescent="0.35">
      <c r="A50" s="2">
        <v>48</v>
      </c>
      <c r="B50" s="3" t="s">
        <v>168</v>
      </c>
      <c r="C50" s="2" t="s">
        <v>34</v>
      </c>
      <c r="D50" s="2" t="s">
        <v>101</v>
      </c>
      <c r="E50" s="2" t="s">
        <v>85</v>
      </c>
      <c r="F50" s="3" t="s">
        <v>55</v>
      </c>
      <c r="G50" s="37" t="s">
        <v>165</v>
      </c>
      <c r="H50" s="37" t="s">
        <v>165</v>
      </c>
      <c r="I50" s="2" t="s">
        <v>14</v>
      </c>
      <c r="J50" s="4"/>
      <c r="K50" s="2" t="s">
        <v>90</v>
      </c>
      <c r="L50" s="2" t="s">
        <v>36</v>
      </c>
      <c r="M50" s="3" t="s">
        <v>109</v>
      </c>
      <c r="N50" s="6" t="s">
        <v>5</v>
      </c>
      <c r="O50" s="3" t="s">
        <v>130</v>
      </c>
      <c r="P50" s="2">
        <v>5</v>
      </c>
    </row>
    <row r="51" spans="1:16" x14ac:dyDescent="0.35">
      <c r="A51" s="2">
        <v>49</v>
      </c>
      <c r="B51" s="3" t="s">
        <v>169</v>
      </c>
      <c r="C51" s="2" t="s">
        <v>34</v>
      </c>
      <c r="D51" s="2" t="s">
        <v>101</v>
      </c>
      <c r="E51" s="2" t="s">
        <v>85</v>
      </c>
      <c r="F51" s="3" t="s">
        <v>55</v>
      </c>
      <c r="G51" s="37" t="s">
        <v>165</v>
      </c>
      <c r="H51" s="37" t="s">
        <v>165</v>
      </c>
      <c r="I51" s="2" t="s">
        <v>14</v>
      </c>
      <c r="J51" s="4"/>
      <c r="K51" s="2" t="s">
        <v>90</v>
      </c>
      <c r="L51" s="2" t="s">
        <v>36</v>
      </c>
      <c r="M51" s="3" t="s">
        <v>109</v>
      </c>
      <c r="N51" s="3" t="s">
        <v>91</v>
      </c>
      <c r="O51" s="3" t="s">
        <v>130</v>
      </c>
      <c r="P51" s="2">
        <v>5</v>
      </c>
    </row>
    <row r="52" spans="1:16" x14ac:dyDescent="0.35">
      <c r="A52" s="2">
        <v>50</v>
      </c>
      <c r="B52" s="3" t="s">
        <v>170</v>
      </c>
      <c r="C52" s="2" t="s">
        <v>34</v>
      </c>
      <c r="D52" s="2" t="s">
        <v>101</v>
      </c>
      <c r="E52" s="2" t="s">
        <v>85</v>
      </c>
      <c r="F52" s="3" t="s">
        <v>55</v>
      </c>
      <c r="G52" s="37" t="s">
        <v>165</v>
      </c>
      <c r="H52" s="37" t="s">
        <v>165</v>
      </c>
      <c r="I52" s="2" t="s">
        <v>14</v>
      </c>
      <c r="J52" s="4"/>
      <c r="K52" s="2" t="s">
        <v>90</v>
      </c>
      <c r="L52" s="2" t="s">
        <v>36</v>
      </c>
      <c r="M52" s="3" t="s">
        <v>109</v>
      </c>
      <c r="N52" s="3" t="s">
        <v>91</v>
      </c>
      <c r="O52" s="3" t="s">
        <v>130</v>
      </c>
      <c r="P52" s="2">
        <v>5</v>
      </c>
    </row>
    <row r="53" spans="1:16" ht="29" x14ac:dyDescent="0.35">
      <c r="A53" s="2">
        <v>51</v>
      </c>
      <c r="B53" s="3" t="s">
        <v>171</v>
      </c>
      <c r="C53" s="2" t="s">
        <v>34</v>
      </c>
      <c r="D53" s="2" t="s">
        <v>101</v>
      </c>
      <c r="E53" s="2" t="s">
        <v>85</v>
      </c>
      <c r="F53" s="2" t="s">
        <v>55</v>
      </c>
      <c r="G53" s="2">
        <v>1835</v>
      </c>
      <c r="H53" s="3">
        <v>1950</v>
      </c>
      <c r="I53" s="2" t="s">
        <v>14</v>
      </c>
      <c r="J53" s="4"/>
      <c r="K53" s="2" t="s">
        <v>90</v>
      </c>
      <c r="L53" s="2" t="s">
        <v>36</v>
      </c>
      <c r="M53" s="3" t="s">
        <v>109</v>
      </c>
      <c r="N53" s="3" t="s">
        <v>91</v>
      </c>
      <c r="O53" s="3" t="s">
        <v>75</v>
      </c>
      <c r="P53" s="2">
        <v>5</v>
      </c>
    </row>
    <row r="54" spans="1:16" ht="29" x14ac:dyDescent="0.35">
      <c r="A54" s="2">
        <v>52</v>
      </c>
      <c r="B54" s="3" t="s">
        <v>172</v>
      </c>
      <c r="C54" s="2" t="s">
        <v>34</v>
      </c>
      <c r="D54" s="2" t="s">
        <v>30</v>
      </c>
      <c r="E54" s="2" t="s">
        <v>85</v>
      </c>
      <c r="F54" s="3" t="s">
        <v>55</v>
      </c>
      <c r="G54" s="3">
        <v>2025</v>
      </c>
      <c r="H54" s="3">
        <v>2025</v>
      </c>
      <c r="I54" s="2" t="s">
        <v>14</v>
      </c>
      <c r="J54" s="4">
        <v>45730</v>
      </c>
      <c r="K54" s="2" t="s">
        <v>90</v>
      </c>
      <c r="L54" s="2" t="s">
        <v>36</v>
      </c>
      <c r="M54" s="3" t="s">
        <v>109</v>
      </c>
      <c r="N54" s="6" t="s">
        <v>5</v>
      </c>
      <c r="O54" s="3" t="s">
        <v>75</v>
      </c>
      <c r="P54" s="2">
        <v>5</v>
      </c>
    </row>
    <row r="55" spans="1:16" x14ac:dyDescent="0.35">
      <c r="A55" s="2">
        <v>53</v>
      </c>
      <c r="B55" s="3" t="s">
        <v>173</v>
      </c>
      <c r="C55" s="2" t="s">
        <v>33</v>
      </c>
      <c r="D55" s="2" t="s">
        <v>31</v>
      </c>
      <c r="E55" s="2" t="s">
        <v>85</v>
      </c>
      <c r="F55" s="3" t="s">
        <v>55</v>
      </c>
      <c r="G55" s="2">
        <v>2021</v>
      </c>
      <c r="H55" s="2">
        <v>2021</v>
      </c>
      <c r="I55" s="2" t="s">
        <v>14</v>
      </c>
      <c r="J55" s="4">
        <v>45428</v>
      </c>
      <c r="K55" s="2" t="s">
        <v>122</v>
      </c>
      <c r="L55" s="2" t="s">
        <v>36</v>
      </c>
      <c r="M55" s="7" t="s">
        <v>5</v>
      </c>
      <c r="N55" s="5" t="s">
        <v>5</v>
      </c>
      <c r="O55" s="3" t="s">
        <v>130</v>
      </c>
    </row>
    <row r="56" spans="1:16" x14ac:dyDescent="0.35">
      <c r="A56" s="2">
        <v>54</v>
      </c>
      <c r="B56" s="3" t="s">
        <v>174</v>
      </c>
      <c r="C56" s="2" t="s">
        <v>33</v>
      </c>
      <c r="D56" s="2" t="s">
        <v>31</v>
      </c>
      <c r="E56" s="2" t="s">
        <v>85</v>
      </c>
      <c r="F56" s="3" t="s">
        <v>55</v>
      </c>
      <c r="G56" s="2">
        <v>2021</v>
      </c>
      <c r="H56" s="3">
        <v>2021</v>
      </c>
      <c r="I56" s="2" t="s">
        <v>14</v>
      </c>
      <c r="J56" s="4">
        <v>45428</v>
      </c>
      <c r="K56" s="2" t="s">
        <v>122</v>
      </c>
      <c r="L56" s="2" t="s">
        <v>36</v>
      </c>
      <c r="M56" s="19" t="s">
        <v>5</v>
      </c>
      <c r="N56" s="19" t="s">
        <v>5</v>
      </c>
      <c r="O56" s="3" t="s">
        <v>130</v>
      </c>
    </row>
    <row r="57" spans="1:16" x14ac:dyDescent="0.35">
      <c r="A57" s="2">
        <v>55</v>
      </c>
      <c r="B57" s="3" t="s">
        <v>175</v>
      </c>
      <c r="C57" s="2" t="s">
        <v>33</v>
      </c>
      <c r="D57" s="2" t="s">
        <v>31</v>
      </c>
      <c r="E57" s="2" t="s">
        <v>85</v>
      </c>
      <c r="F57" s="3" t="s">
        <v>55</v>
      </c>
      <c r="G57" s="2">
        <v>2021</v>
      </c>
      <c r="H57" s="3">
        <v>2021</v>
      </c>
      <c r="I57" s="2" t="s">
        <v>14</v>
      </c>
      <c r="J57" s="4">
        <v>45428</v>
      </c>
      <c r="K57" s="2" t="s">
        <v>122</v>
      </c>
      <c r="L57" s="2" t="s">
        <v>36</v>
      </c>
      <c r="M57" s="6" t="s">
        <v>5</v>
      </c>
      <c r="N57" s="5" t="s">
        <v>5</v>
      </c>
      <c r="O57" s="3" t="s">
        <v>130</v>
      </c>
    </row>
    <row r="58" spans="1:16" x14ac:dyDescent="0.35">
      <c r="A58" s="2">
        <v>56</v>
      </c>
      <c r="B58" s="3" t="s">
        <v>176</v>
      </c>
      <c r="C58" s="2" t="s">
        <v>33</v>
      </c>
      <c r="D58" s="2" t="s">
        <v>31</v>
      </c>
      <c r="E58" s="2" t="s">
        <v>85</v>
      </c>
      <c r="F58" s="2" t="s">
        <v>55</v>
      </c>
      <c r="G58" s="2">
        <v>1800</v>
      </c>
      <c r="H58" s="3">
        <v>2021</v>
      </c>
      <c r="I58" s="2" t="s">
        <v>14</v>
      </c>
      <c r="J58" s="4">
        <v>45527</v>
      </c>
      <c r="K58" s="2" t="s">
        <v>122</v>
      </c>
      <c r="L58" s="2" t="s">
        <v>36</v>
      </c>
      <c r="M58" s="6" t="s">
        <v>5</v>
      </c>
      <c r="N58" s="5" t="s">
        <v>5</v>
      </c>
      <c r="O58" s="3" t="s">
        <v>130</v>
      </c>
    </row>
    <row r="59" spans="1:16" x14ac:dyDescent="0.35">
      <c r="A59" s="2">
        <v>57</v>
      </c>
      <c r="B59" s="3" t="s">
        <v>177</v>
      </c>
      <c r="C59" s="2" t="s">
        <v>33</v>
      </c>
      <c r="D59" s="2" t="s">
        <v>31</v>
      </c>
      <c r="E59" s="2" t="s">
        <v>85</v>
      </c>
      <c r="F59" s="3" t="s">
        <v>55</v>
      </c>
      <c r="G59" s="2">
        <v>2023</v>
      </c>
      <c r="H59" s="3">
        <v>2023</v>
      </c>
      <c r="I59" s="2" t="s">
        <v>14</v>
      </c>
      <c r="J59" s="4">
        <v>45428</v>
      </c>
      <c r="K59" s="2" t="s">
        <v>122</v>
      </c>
      <c r="L59" s="2" t="s">
        <v>36</v>
      </c>
      <c r="M59" s="6" t="s">
        <v>5</v>
      </c>
      <c r="N59" s="5" t="s">
        <v>5</v>
      </c>
      <c r="O59" s="3" t="s">
        <v>130</v>
      </c>
    </row>
    <row r="60" spans="1:16" x14ac:dyDescent="0.35">
      <c r="A60" s="2">
        <v>58</v>
      </c>
      <c r="B60" s="3" t="s">
        <v>178</v>
      </c>
      <c r="C60" s="2" t="s">
        <v>33</v>
      </c>
      <c r="D60" s="2" t="s">
        <v>31</v>
      </c>
      <c r="E60" s="2" t="s">
        <v>85</v>
      </c>
      <c r="F60" s="3" t="s">
        <v>55</v>
      </c>
      <c r="G60" s="2">
        <v>2024</v>
      </c>
      <c r="H60" s="3">
        <v>2024</v>
      </c>
      <c r="I60" s="2" t="s">
        <v>14</v>
      </c>
      <c r="J60" s="4">
        <v>45356</v>
      </c>
      <c r="K60" s="2" t="s">
        <v>122</v>
      </c>
      <c r="L60" s="2" t="s">
        <v>36</v>
      </c>
      <c r="M60" s="6" t="s">
        <v>5</v>
      </c>
      <c r="N60" s="5" t="s">
        <v>5</v>
      </c>
      <c r="O60" s="3" t="s">
        <v>130</v>
      </c>
    </row>
    <row r="61" spans="1:16" x14ac:dyDescent="0.35">
      <c r="A61" s="2">
        <v>59</v>
      </c>
      <c r="B61" s="3" t="s">
        <v>179</v>
      </c>
      <c r="C61" s="2" t="s">
        <v>33</v>
      </c>
      <c r="D61" s="2" t="s">
        <v>31</v>
      </c>
      <c r="E61" s="2" t="s">
        <v>85</v>
      </c>
      <c r="F61" s="3" t="s">
        <v>55</v>
      </c>
      <c r="G61" s="2">
        <v>2024</v>
      </c>
      <c r="H61" s="3">
        <v>2024</v>
      </c>
      <c r="I61" s="2" t="s">
        <v>14</v>
      </c>
      <c r="J61" s="4">
        <v>45601</v>
      </c>
      <c r="K61" s="2" t="s">
        <v>122</v>
      </c>
      <c r="L61" s="2" t="s">
        <v>36</v>
      </c>
      <c r="M61" s="6" t="s">
        <v>5</v>
      </c>
      <c r="N61" s="5" t="s">
        <v>5</v>
      </c>
      <c r="O61" s="3" t="s">
        <v>130</v>
      </c>
    </row>
    <row r="62" spans="1:16" x14ac:dyDescent="0.35">
      <c r="A62" s="2">
        <v>60</v>
      </c>
      <c r="B62" s="3" t="s">
        <v>181</v>
      </c>
      <c r="C62" s="2" t="s">
        <v>33</v>
      </c>
      <c r="E62" s="2" t="s">
        <v>81</v>
      </c>
      <c r="F62" s="2" t="s">
        <v>53</v>
      </c>
      <c r="G62" s="36">
        <v>1960</v>
      </c>
      <c r="H62" s="37">
        <v>2099</v>
      </c>
      <c r="I62" s="2" t="s">
        <v>17</v>
      </c>
      <c r="J62" s="4">
        <v>44777</v>
      </c>
      <c r="K62" s="2" t="s">
        <v>180</v>
      </c>
      <c r="L62" s="2" t="s">
        <v>36</v>
      </c>
      <c r="M62" s="7" t="s">
        <v>5</v>
      </c>
      <c r="N62" s="5"/>
      <c r="O62" s="3" t="s">
        <v>183</v>
      </c>
    </row>
    <row r="63" spans="1:16" ht="43.5" x14ac:dyDescent="0.35">
      <c r="A63" s="2">
        <v>61</v>
      </c>
      <c r="B63" s="3" t="s">
        <v>182</v>
      </c>
      <c r="C63" s="2" t="s">
        <v>33</v>
      </c>
      <c r="D63" s="2" t="s">
        <v>29</v>
      </c>
      <c r="E63" s="2" t="s">
        <v>81</v>
      </c>
      <c r="F63" s="2" t="s">
        <v>55</v>
      </c>
      <c r="G63" s="2">
        <v>2020</v>
      </c>
      <c r="H63" s="3">
        <v>2300</v>
      </c>
      <c r="I63" s="2" t="s">
        <v>17</v>
      </c>
      <c r="J63" s="4">
        <v>44999</v>
      </c>
      <c r="K63" s="2" t="s">
        <v>180</v>
      </c>
      <c r="L63" s="2" t="s">
        <v>36</v>
      </c>
      <c r="M63" s="7" t="s">
        <v>5</v>
      </c>
      <c r="N63" s="5" t="s">
        <v>5</v>
      </c>
      <c r="O63" s="3" t="s">
        <v>183</v>
      </c>
    </row>
    <row r="64" spans="1:16" ht="29" x14ac:dyDescent="0.35">
      <c r="A64" s="2">
        <v>62</v>
      </c>
      <c r="B64" s="3" t="s">
        <v>184</v>
      </c>
      <c r="C64" s="2" t="s">
        <v>33</v>
      </c>
      <c r="D64" s="2" t="s">
        <v>185</v>
      </c>
      <c r="E64" s="2" t="s">
        <v>81</v>
      </c>
      <c r="F64" s="2" t="s">
        <v>53</v>
      </c>
      <c r="G64" s="2">
        <v>1961</v>
      </c>
      <c r="H64" s="3">
        <v>2010</v>
      </c>
      <c r="I64" s="2" t="s">
        <v>17</v>
      </c>
      <c r="J64" s="4">
        <v>42964</v>
      </c>
      <c r="K64" s="2" t="s">
        <v>180</v>
      </c>
      <c r="L64" s="2" t="s">
        <v>36</v>
      </c>
      <c r="M64" s="7" t="s">
        <v>5</v>
      </c>
      <c r="N64" s="5"/>
      <c r="O64" s="3" t="s">
        <v>183</v>
      </c>
    </row>
    <row r="65" spans="1:16" x14ac:dyDescent="0.35">
      <c r="A65" s="2">
        <v>63</v>
      </c>
      <c r="B65" s="3" t="s">
        <v>187</v>
      </c>
      <c r="C65" s="2" t="s">
        <v>33</v>
      </c>
      <c r="D65" s="2" t="s">
        <v>186</v>
      </c>
      <c r="E65" s="2" t="s">
        <v>81</v>
      </c>
      <c r="F65" s="2" t="s">
        <v>55</v>
      </c>
      <c r="G65" s="2">
        <v>2016</v>
      </c>
      <c r="H65" s="3">
        <v>2025</v>
      </c>
      <c r="I65" s="2" t="s">
        <v>10</v>
      </c>
      <c r="J65" s="4">
        <f ca="1">TODAY()</f>
        <v>45895</v>
      </c>
      <c r="K65" s="2" t="s">
        <v>188</v>
      </c>
      <c r="L65" s="2" t="s">
        <v>36</v>
      </c>
      <c r="M65" s="7" t="s">
        <v>5</v>
      </c>
      <c r="N65" s="5" t="s">
        <v>5</v>
      </c>
      <c r="O65" s="3" t="s">
        <v>130</v>
      </c>
    </row>
    <row r="66" spans="1:16" x14ac:dyDescent="0.35">
      <c r="A66" s="2">
        <v>64</v>
      </c>
      <c r="B66" s="3" t="s">
        <v>189</v>
      </c>
      <c r="C66" s="2" t="s">
        <v>33</v>
      </c>
      <c r="D66" s="2" t="s">
        <v>29</v>
      </c>
      <c r="E66" s="2" t="s">
        <v>85</v>
      </c>
      <c r="F66" s="3" t="s">
        <v>55</v>
      </c>
      <c r="G66" s="3">
        <v>2024</v>
      </c>
      <c r="H66" s="3">
        <v>2024</v>
      </c>
      <c r="I66" s="2" t="s">
        <v>14</v>
      </c>
      <c r="J66" s="4">
        <v>45556</v>
      </c>
      <c r="K66" s="2" t="s">
        <v>90</v>
      </c>
      <c r="L66" s="2" t="s">
        <v>36</v>
      </c>
      <c r="M66" s="7" t="s">
        <v>5</v>
      </c>
      <c r="N66" s="5" t="s">
        <v>5</v>
      </c>
      <c r="O66" s="3" t="s">
        <v>76</v>
      </c>
      <c r="P66" s="2">
        <v>5</v>
      </c>
    </row>
    <row r="67" spans="1:16" x14ac:dyDescent="0.35">
      <c r="A67" s="2">
        <v>65</v>
      </c>
      <c r="B67" s="3" t="s">
        <v>193</v>
      </c>
      <c r="C67" s="2" t="s">
        <v>33</v>
      </c>
      <c r="D67" s="2" t="s">
        <v>28</v>
      </c>
      <c r="E67" s="2" t="s">
        <v>85</v>
      </c>
      <c r="F67" s="3" t="s">
        <v>55</v>
      </c>
      <c r="G67" s="3">
        <v>2016</v>
      </c>
      <c r="H67" s="3">
        <v>2016</v>
      </c>
      <c r="I67" s="2" t="s">
        <v>14</v>
      </c>
      <c r="J67" s="4">
        <v>42647</v>
      </c>
      <c r="K67" s="2" t="s">
        <v>135</v>
      </c>
      <c r="L67" s="2" t="s">
        <v>36</v>
      </c>
      <c r="M67" s="7" t="s">
        <v>5</v>
      </c>
      <c r="N67" s="5" t="s">
        <v>5</v>
      </c>
      <c r="O67" s="3" t="s">
        <v>130</v>
      </c>
    </row>
    <row r="68" spans="1:16" x14ac:dyDescent="0.35">
      <c r="A68" s="2">
        <v>66</v>
      </c>
      <c r="B68" s="3" t="s">
        <v>194</v>
      </c>
      <c r="C68" s="2" t="s">
        <v>33</v>
      </c>
      <c r="D68" s="2" t="s">
        <v>28</v>
      </c>
      <c r="E68" s="2" t="s">
        <v>85</v>
      </c>
      <c r="F68" s="3" t="s">
        <v>55</v>
      </c>
      <c r="G68" s="3">
        <v>2016</v>
      </c>
      <c r="H68" s="3">
        <v>2016</v>
      </c>
      <c r="I68" s="2" t="s">
        <v>14</v>
      </c>
      <c r="J68" s="4">
        <v>42646</v>
      </c>
      <c r="K68" s="2" t="s">
        <v>135</v>
      </c>
      <c r="L68" s="2" t="s">
        <v>36</v>
      </c>
      <c r="M68" s="7" t="s">
        <v>5</v>
      </c>
      <c r="N68" s="5" t="s">
        <v>5</v>
      </c>
      <c r="O68" s="3" t="s">
        <v>130</v>
      </c>
    </row>
    <row r="69" spans="1:16" x14ac:dyDescent="0.35">
      <c r="A69" s="2">
        <v>67</v>
      </c>
      <c r="B69" s="3" t="s">
        <v>195</v>
      </c>
      <c r="C69" s="2" t="s">
        <v>33</v>
      </c>
      <c r="D69" s="2" t="s">
        <v>28</v>
      </c>
      <c r="E69" s="2" t="s">
        <v>85</v>
      </c>
      <c r="F69" s="3" t="s">
        <v>55</v>
      </c>
      <c r="G69" s="3">
        <v>2016</v>
      </c>
      <c r="H69" s="3">
        <v>2016</v>
      </c>
      <c r="I69" s="2" t="s">
        <v>14</v>
      </c>
      <c r="J69" s="4">
        <v>42646</v>
      </c>
      <c r="K69" s="2" t="s">
        <v>135</v>
      </c>
      <c r="L69" s="2" t="s">
        <v>36</v>
      </c>
      <c r="M69" s="7" t="s">
        <v>5</v>
      </c>
      <c r="N69" s="5" t="s">
        <v>5</v>
      </c>
      <c r="O69" s="3" t="s">
        <v>130</v>
      </c>
    </row>
    <row r="70" spans="1:16" x14ac:dyDescent="0.35">
      <c r="A70" s="2">
        <v>68</v>
      </c>
      <c r="B70" s="3" t="s">
        <v>196</v>
      </c>
      <c r="C70" s="2" t="s">
        <v>33</v>
      </c>
      <c r="D70" s="2" t="s">
        <v>29</v>
      </c>
      <c r="E70" s="2" t="s">
        <v>85</v>
      </c>
      <c r="F70" s="3" t="s">
        <v>55</v>
      </c>
      <c r="G70" s="3">
        <v>2024</v>
      </c>
      <c r="H70" s="3">
        <v>2024</v>
      </c>
      <c r="I70" s="2" t="s">
        <v>14</v>
      </c>
      <c r="J70" s="4">
        <v>45639</v>
      </c>
      <c r="K70" s="2" t="s">
        <v>122</v>
      </c>
      <c r="L70" s="2" t="s">
        <v>36</v>
      </c>
      <c r="M70" s="7" t="s">
        <v>5</v>
      </c>
      <c r="N70" s="5" t="s">
        <v>5</v>
      </c>
      <c r="O70" s="3" t="s">
        <v>130</v>
      </c>
    </row>
    <row r="71" spans="1:16" x14ac:dyDescent="0.35">
      <c r="A71" s="2">
        <v>69</v>
      </c>
      <c r="B71" s="3" t="s">
        <v>197</v>
      </c>
      <c r="C71" s="2" t="s">
        <v>33</v>
      </c>
      <c r="D71" s="2" t="s">
        <v>29</v>
      </c>
      <c r="E71" s="2" t="s">
        <v>85</v>
      </c>
      <c r="F71" s="3" t="s">
        <v>55</v>
      </c>
      <c r="G71" s="3">
        <v>2025</v>
      </c>
      <c r="H71" s="3">
        <v>2025</v>
      </c>
      <c r="I71" s="2" t="s">
        <v>14</v>
      </c>
      <c r="J71" s="4"/>
      <c r="K71" s="2" t="s">
        <v>198</v>
      </c>
      <c r="L71" s="2" t="s">
        <v>36</v>
      </c>
      <c r="M71" s="3" t="s">
        <v>123</v>
      </c>
      <c r="N71" s="5" t="s">
        <v>5</v>
      </c>
      <c r="O71" s="3" t="s">
        <v>130</v>
      </c>
    </row>
    <row r="72" spans="1:16" x14ac:dyDescent="0.35">
      <c r="A72" s="2">
        <v>70</v>
      </c>
      <c r="B72" s="3" t="s">
        <v>199</v>
      </c>
      <c r="C72" s="2" t="s">
        <v>33</v>
      </c>
      <c r="D72" s="2" t="s">
        <v>29</v>
      </c>
      <c r="E72" s="2" t="s">
        <v>81</v>
      </c>
      <c r="F72" s="3" t="s">
        <v>55</v>
      </c>
      <c r="G72" s="3">
        <v>2025</v>
      </c>
      <c r="H72" s="3">
        <v>2025</v>
      </c>
      <c r="I72" s="2" t="s">
        <v>14</v>
      </c>
      <c r="J72" s="4"/>
      <c r="K72" s="2" t="s">
        <v>200</v>
      </c>
      <c r="L72" s="2" t="s">
        <v>40</v>
      </c>
      <c r="M72" s="3" t="s">
        <v>123</v>
      </c>
      <c r="N72" s="5" t="s">
        <v>5</v>
      </c>
      <c r="O72" s="3" t="s">
        <v>130</v>
      </c>
    </row>
    <row r="73" spans="1:16" ht="29" x14ac:dyDescent="0.35">
      <c r="A73" s="2">
        <v>71</v>
      </c>
      <c r="B73" s="3" t="s">
        <v>202</v>
      </c>
      <c r="C73" s="2" t="s">
        <v>33</v>
      </c>
      <c r="D73" s="2" t="s">
        <v>29</v>
      </c>
      <c r="E73" s="2" t="s">
        <v>89</v>
      </c>
      <c r="F73" s="2" t="s">
        <v>55</v>
      </c>
      <c r="G73" s="2">
        <v>2011</v>
      </c>
      <c r="H73" s="3">
        <v>2016</v>
      </c>
      <c r="I73" s="2" t="s">
        <v>17</v>
      </c>
      <c r="J73" s="4">
        <v>43998</v>
      </c>
      <c r="K73" s="2" t="s">
        <v>201</v>
      </c>
      <c r="L73" s="2" t="s">
        <v>36</v>
      </c>
      <c r="M73" s="7" t="s">
        <v>5</v>
      </c>
      <c r="N73" s="5" t="s">
        <v>5</v>
      </c>
      <c r="O73" s="3" t="s">
        <v>130</v>
      </c>
    </row>
    <row r="74" spans="1:16" x14ac:dyDescent="0.35">
      <c r="A74" s="2">
        <v>72</v>
      </c>
      <c r="B74" t="s">
        <v>206</v>
      </c>
      <c r="C74" s="2" t="s">
        <v>33</v>
      </c>
      <c r="D74" s="2" t="s">
        <v>207</v>
      </c>
      <c r="E74" s="2" t="s">
        <v>85</v>
      </c>
      <c r="F74" s="2" t="s">
        <v>47</v>
      </c>
      <c r="G74" s="2">
        <v>2024</v>
      </c>
      <c r="H74" s="3" t="s">
        <v>165</v>
      </c>
      <c r="I74" s="2" t="s">
        <v>16</v>
      </c>
      <c r="J74" s="4">
        <v>45566</v>
      </c>
      <c r="K74" s="2" t="s">
        <v>203</v>
      </c>
      <c r="L74" s="2" t="s">
        <v>40</v>
      </c>
      <c r="M74" s="7" t="s">
        <v>5</v>
      </c>
      <c r="N74" s="5" t="s">
        <v>5</v>
      </c>
      <c r="O74" s="3" t="s">
        <v>112</v>
      </c>
    </row>
    <row r="75" spans="1:16" x14ac:dyDescent="0.35">
      <c r="A75" s="2">
        <v>73</v>
      </c>
      <c r="B75" t="s">
        <v>205</v>
      </c>
      <c r="C75" s="2" t="s">
        <v>33</v>
      </c>
      <c r="D75" s="2" t="s">
        <v>31</v>
      </c>
      <c r="E75" s="2" t="s">
        <v>81</v>
      </c>
      <c r="F75" s="2" t="s">
        <v>42</v>
      </c>
      <c r="G75" s="2">
        <v>2005</v>
      </c>
      <c r="H75" s="3">
        <v>2019</v>
      </c>
      <c r="I75" s="2" t="s">
        <v>23</v>
      </c>
      <c r="J75" s="4">
        <v>44413</v>
      </c>
      <c r="K75" s="2" t="s">
        <v>204</v>
      </c>
      <c r="L75" s="2" t="s">
        <v>36</v>
      </c>
      <c r="M75" s="7" t="s">
        <v>5</v>
      </c>
      <c r="N75" s="5" t="s">
        <v>5</v>
      </c>
      <c r="O75" s="3" t="s">
        <v>120</v>
      </c>
    </row>
    <row r="76" spans="1:16" x14ac:dyDescent="0.35">
      <c r="A76" s="2">
        <v>74</v>
      </c>
      <c r="B76" s="3" t="s">
        <v>208</v>
      </c>
      <c r="C76" s="2" t="s">
        <v>33</v>
      </c>
      <c r="D76" s="2" t="s">
        <v>31</v>
      </c>
      <c r="E76" s="2" t="s">
        <v>81</v>
      </c>
      <c r="F76" s="2" t="s">
        <v>55</v>
      </c>
      <c r="G76" s="2">
        <v>2006</v>
      </c>
      <c r="H76" s="3">
        <v>2018</v>
      </c>
      <c r="I76" s="2" t="s">
        <v>23</v>
      </c>
      <c r="J76" s="4">
        <v>44197</v>
      </c>
      <c r="K76" s="2" t="s">
        <v>209</v>
      </c>
      <c r="L76" s="2" t="s">
        <v>36</v>
      </c>
      <c r="M76" s="7" t="s">
        <v>5</v>
      </c>
      <c r="N76" s="5" t="s">
        <v>5</v>
      </c>
      <c r="O76" s="3" t="s">
        <v>120</v>
      </c>
    </row>
    <row r="77" spans="1:16" ht="29" x14ac:dyDescent="0.35">
      <c r="A77" s="2">
        <v>75</v>
      </c>
      <c r="B77" s="3" t="s">
        <v>214</v>
      </c>
      <c r="C77" s="2" t="s">
        <v>33</v>
      </c>
      <c r="D77" s="2" t="s">
        <v>118</v>
      </c>
      <c r="E77" s="2" t="s">
        <v>85</v>
      </c>
      <c r="F77" s="3" t="s">
        <v>378</v>
      </c>
      <c r="G77" s="3">
        <v>2001</v>
      </c>
      <c r="H77" s="3">
        <v>2022</v>
      </c>
      <c r="I77" s="2" t="s">
        <v>23</v>
      </c>
      <c r="J77" s="4"/>
      <c r="K77" s="2" t="s">
        <v>117</v>
      </c>
      <c r="L77" s="2" t="s">
        <v>36</v>
      </c>
      <c r="M77" s="19" t="s">
        <v>5</v>
      </c>
      <c r="N77" s="5" t="s">
        <v>5</v>
      </c>
      <c r="O77" s="3" t="s">
        <v>112</v>
      </c>
      <c r="P77" s="2">
        <v>5</v>
      </c>
    </row>
    <row r="78" spans="1:16" ht="29" x14ac:dyDescent="0.35">
      <c r="A78" s="2">
        <v>76</v>
      </c>
      <c r="B78" s="3" t="s">
        <v>211</v>
      </c>
      <c r="C78" s="2" t="s">
        <v>33</v>
      </c>
      <c r="D78" s="2" t="s">
        <v>118</v>
      </c>
      <c r="E78" s="2" t="s">
        <v>85</v>
      </c>
      <c r="F78" s="3" t="s">
        <v>379</v>
      </c>
      <c r="G78" s="2">
        <v>2002</v>
      </c>
      <c r="H78" s="3">
        <v>2022</v>
      </c>
      <c r="I78" s="2" t="s">
        <v>23</v>
      </c>
      <c r="J78" s="4">
        <v>45504</v>
      </c>
      <c r="K78" s="2" t="s">
        <v>117</v>
      </c>
      <c r="L78" s="2" t="s">
        <v>36</v>
      </c>
      <c r="M78" s="7" t="s">
        <v>5</v>
      </c>
      <c r="N78" s="5" t="s">
        <v>5</v>
      </c>
      <c r="O78" s="3" t="s">
        <v>112</v>
      </c>
      <c r="P78" s="2">
        <v>5</v>
      </c>
    </row>
    <row r="79" spans="1:16" ht="29" x14ac:dyDescent="0.35">
      <c r="A79" s="2">
        <v>77</v>
      </c>
      <c r="B79" s="3" t="s">
        <v>212</v>
      </c>
      <c r="C79" s="2" t="s">
        <v>33</v>
      </c>
      <c r="D79" s="2" t="s">
        <v>118</v>
      </c>
      <c r="E79" s="2" t="s">
        <v>85</v>
      </c>
      <c r="F79" s="3" t="s">
        <v>380</v>
      </c>
      <c r="G79" s="2">
        <v>2009</v>
      </c>
      <c r="H79" s="3">
        <v>2023</v>
      </c>
      <c r="I79" s="2" t="s">
        <v>23</v>
      </c>
      <c r="J79" s="4">
        <v>45646</v>
      </c>
      <c r="K79" s="2" t="s">
        <v>117</v>
      </c>
      <c r="L79" s="2" t="s">
        <v>36</v>
      </c>
      <c r="M79" s="7" t="s">
        <v>5</v>
      </c>
      <c r="N79" s="5" t="s">
        <v>5</v>
      </c>
      <c r="O79" s="3" t="s">
        <v>112</v>
      </c>
      <c r="P79" s="2">
        <v>5</v>
      </c>
    </row>
    <row r="80" spans="1:16" x14ac:dyDescent="0.35">
      <c r="A80" s="2">
        <v>78</v>
      </c>
      <c r="B80" s="3" t="s">
        <v>213</v>
      </c>
      <c r="C80" s="2" t="s">
        <v>33</v>
      </c>
      <c r="D80" s="2" t="s">
        <v>31</v>
      </c>
      <c r="F80" s="3" t="s">
        <v>55</v>
      </c>
      <c r="G80" s="2">
        <v>2024</v>
      </c>
      <c r="H80" s="3">
        <v>2025</v>
      </c>
      <c r="I80" s="2" t="s">
        <v>17</v>
      </c>
      <c r="J80" s="4">
        <v>45750</v>
      </c>
      <c r="K80" s="2" t="s">
        <v>215</v>
      </c>
      <c r="L80" s="2" t="s">
        <v>40</v>
      </c>
      <c r="M80" s="7" t="s">
        <v>5</v>
      </c>
      <c r="N80" s="5" t="s">
        <v>5</v>
      </c>
      <c r="O80" s="3" t="s">
        <v>130</v>
      </c>
    </row>
    <row r="81" spans="1:15" x14ac:dyDescent="0.35">
      <c r="A81" s="2">
        <v>79</v>
      </c>
      <c r="B81" s="3" t="s">
        <v>234</v>
      </c>
      <c r="C81" s="2" t="s">
        <v>33</v>
      </c>
      <c r="D81" s="2" t="s">
        <v>118</v>
      </c>
      <c r="E81" s="2" t="s">
        <v>85</v>
      </c>
      <c r="F81" s="2" t="s">
        <v>210</v>
      </c>
      <c r="G81" s="2">
        <v>2018</v>
      </c>
      <c r="H81" s="3">
        <v>2023</v>
      </c>
      <c r="I81" s="2" t="s">
        <v>23</v>
      </c>
      <c r="J81" s="4">
        <v>45426</v>
      </c>
      <c r="K81" s="2" t="s">
        <v>235</v>
      </c>
      <c r="L81" s="2" t="s">
        <v>36</v>
      </c>
      <c r="M81" s="7" t="s">
        <v>5</v>
      </c>
      <c r="N81" s="5" t="s">
        <v>5</v>
      </c>
      <c r="O81" s="3" t="s">
        <v>112</v>
      </c>
    </row>
    <row r="82" spans="1:15" x14ac:dyDescent="0.35">
      <c r="A82" s="2">
        <v>80</v>
      </c>
      <c r="B82" s="3" t="s">
        <v>236</v>
      </c>
      <c r="C82" s="2" t="s">
        <v>33</v>
      </c>
      <c r="D82" s="2" t="s">
        <v>118</v>
      </c>
      <c r="E82" s="2" t="s">
        <v>85</v>
      </c>
      <c r="F82" s="2" t="s">
        <v>47</v>
      </c>
      <c r="G82" s="2">
        <v>2018</v>
      </c>
      <c r="H82" s="3">
        <v>2024</v>
      </c>
      <c r="I82" s="2" t="s">
        <v>23</v>
      </c>
      <c r="J82" s="4">
        <v>45688</v>
      </c>
      <c r="K82" s="2" t="s">
        <v>235</v>
      </c>
      <c r="L82" s="2" t="s">
        <v>36</v>
      </c>
      <c r="M82" s="7" t="s">
        <v>5</v>
      </c>
      <c r="N82" s="5" t="s">
        <v>5</v>
      </c>
      <c r="O82" s="3" t="s">
        <v>112</v>
      </c>
    </row>
    <row r="83" spans="1:15" ht="29" x14ac:dyDescent="0.35">
      <c r="A83" s="2">
        <v>81</v>
      </c>
      <c r="B83" s="3" t="s">
        <v>237</v>
      </c>
      <c r="C83" s="2" t="s">
        <v>33</v>
      </c>
      <c r="D83" s="2" t="s">
        <v>118</v>
      </c>
      <c r="E83" s="2" t="s">
        <v>85</v>
      </c>
      <c r="F83" s="2" t="s">
        <v>53</v>
      </c>
      <c r="G83" s="2">
        <v>2022</v>
      </c>
      <c r="H83" s="3">
        <v>2023</v>
      </c>
      <c r="I83" s="2" t="s">
        <v>23</v>
      </c>
      <c r="J83" s="4">
        <v>45701</v>
      </c>
      <c r="K83" s="2" t="s">
        <v>235</v>
      </c>
      <c r="L83" s="2" t="s">
        <v>36</v>
      </c>
      <c r="M83" s="7" t="s">
        <v>5</v>
      </c>
      <c r="N83" s="5" t="s">
        <v>5</v>
      </c>
      <c r="O83" s="3" t="s">
        <v>112</v>
      </c>
    </row>
    <row r="84" spans="1:15" ht="29" x14ac:dyDescent="0.35">
      <c r="A84" s="2">
        <v>82</v>
      </c>
      <c r="B84" s="3" t="s">
        <v>238</v>
      </c>
      <c r="C84" s="2" t="s">
        <v>34</v>
      </c>
      <c r="D84" s="2" t="s">
        <v>31</v>
      </c>
      <c r="E84" s="2" t="s">
        <v>85</v>
      </c>
      <c r="F84" s="3" t="s">
        <v>55</v>
      </c>
      <c r="G84" s="2">
        <v>2021</v>
      </c>
      <c r="H84" s="3">
        <v>2024</v>
      </c>
      <c r="I84" s="2" t="s">
        <v>17</v>
      </c>
      <c r="J84" s="4"/>
      <c r="K84" s="2" t="s">
        <v>235</v>
      </c>
      <c r="L84" s="2" t="s">
        <v>36</v>
      </c>
      <c r="M84" s="3"/>
      <c r="N84" s="30" t="s">
        <v>126</v>
      </c>
      <c r="O84" s="3" t="s">
        <v>396</v>
      </c>
    </row>
    <row r="85" spans="1:15" ht="29" x14ac:dyDescent="0.35">
      <c r="A85" s="2">
        <v>83</v>
      </c>
      <c r="B85" s="3" t="s">
        <v>239</v>
      </c>
      <c r="C85" s="2" t="s">
        <v>34</v>
      </c>
      <c r="D85" s="2" t="s">
        <v>30</v>
      </c>
      <c r="E85" s="2" t="s">
        <v>86</v>
      </c>
      <c r="F85" s="3" t="s">
        <v>55</v>
      </c>
      <c r="G85" s="3">
        <v>2024</v>
      </c>
      <c r="H85" s="3">
        <v>2024</v>
      </c>
      <c r="I85" s="2" t="s">
        <v>17</v>
      </c>
      <c r="J85" s="4"/>
      <c r="K85" s="2" t="s">
        <v>235</v>
      </c>
      <c r="L85" s="2" t="s">
        <v>36</v>
      </c>
      <c r="M85" s="3"/>
      <c r="N85" s="30" t="s">
        <v>126</v>
      </c>
      <c r="O85" s="3" t="s">
        <v>397</v>
      </c>
    </row>
    <row r="86" spans="1:15" ht="29" x14ac:dyDescent="0.35">
      <c r="A86" s="2">
        <v>84</v>
      </c>
      <c r="B86" s="3" t="s">
        <v>240</v>
      </c>
      <c r="C86" s="2" t="s">
        <v>34</v>
      </c>
      <c r="D86" s="2" t="s">
        <v>29</v>
      </c>
      <c r="E86" s="2" t="s">
        <v>85</v>
      </c>
      <c r="F86" s="3" t="s">
        <v>55</v>
      </c>
      <c r="G86" s="3">
        <v>2024</v>
      </c>
      <c r="H86" s="3">
        <v>2024</v>
      </c>
      <c r="I86" s="2" t="s">
        <v>17</v>
      </c>
      <c r="J86" s="4"/>
      <c r="K86" s="2" t="s">
        <v>235</v>
      </c>
      <c r="L86" s="2" t="s">
        <v>36</v>
      </c>
      <c r="M86" s="3"/>
      <c r="N86" s="30" t="s">
        <v>126</v>
      </c>
      <c r="O86" s="3" t="s">
        <v>397</v>
      </c>
    </row>
    <row r="87" spans="1:15" x14ac:dyDescent="0.35">
      <c r="A87" s="2">
        <v>85</v>
      </c>
      <c r="B87" s="3" t="s">
        <v>241</v>
      </c>
      <c r="C87" s="2" t="s">
        <v>33</v>
      </c>
      <c r="D87" s="2" t="s">
        <v>101</v>
      </c>
      <c r="E87" s="2" t="s">
        <v>341</v>
      </c>
      <c r="F87" s="3" t="s">
        <v>55</v>
      </c>
      <c r="G87" s="3">
        <v>2015</v>
      </c>
      <c r="H87" s="3">
        <v>2015</v>
      </c>
      <c r="I87" s="2" t="s">
        <v>14</v>
      </c>
      <c r="J87" s="4">
        <v>42088</v>
      </c>
      <c r="K87" s="2" t="s">
        <v>242</v>
      </c>
      <c r="L87" s="2" t="s">
        <v>40</v>
      </c>
      <c r="M87" s="7" t="s">
        <v>5</v>
      </c>
      <c r="N87" s="5" t="s">
        <v>5</v>
      </c>
      <c r="O87" s="3" t="s">
        <v>130</v>
      </c>
    </row>
    <row r="88" spans="1:15" x14ac:dyDescent="0.35">
      <c r="A88" s="2">
        <v>86</v>
      </c>
      <c r="B88" s="3" t="s">
        <v>364</v>
      </c>
      <c r="C88" s="2" t="s">
        <v>33</v>
      </c>
      <c r="D88" s="2" t="s">
        <v>101</v>
      </c>
      <c r="E88" s="2" t="s">
        <v>85</v>
      </c>
      <c r="F88" s="3" t="s">
        <v>55</v>
      </c>
      <c r="G88" s="2">
        <v>2009</v>
      </c>
      <c r="H88" s="3">
        <v>2014</v>
      </c>
      <c r="I88" s="2" t="s">
        <v>17</v>
      </c>
      <c r="J88" s="4">
        <v>40941</v>
      </c>
      <c r="K88" s="2" t="s">
        <v>243</v>
      </c>
      <c r="L88" s="2" t="s">
        <v>40</v>
      </c>
      <c r="M88" s="7" t="s">
        <v>5</v>
      </c>
      <c r="N88" s="5" t="s">
        <v>5</v>
      </c>
      <c r="O88" s="3" t="s">
        <v>130</v>
      </c>
    </row>
    <row r="89" spans="1:15" x14ac:dyDescent="0.35">
      <c r="A89" s="2">
        <v>87</v>
      </c>
      <c r="B89" s="3" t="s">
        <v>330</v>
      </c>
      <c r="C89" s="2" t="s">
        <v>33</v>
      </c>
      <c r="D89" s="2" t="s">
        <v>28</v>
      </c>
      <c r="E89" s="2" t="s">
        <v>89</v>
      </c>
      <c r="F89" s="3" t="s">
        <v>55</v>
      </c>
      <c r="G89" s="3">
        <v>2021</v>
      </c>
      <c r="H89" s="3">
        <v>2021</v>
      </c>
      <c r="I89" s="2" t="s">
        <v>17</v>
      </c>
      <c r="J89" s="4">
        <v>44333</v>
      </c>
      <c r="K89" s="2" t="s">
        <v>329</v>
      </c>
      <c r="L89" s="2" t="s">
        <v>36</v>
      </c>
      <c r="M89" s="3" t="s">
        <v>123</v>
      </c>
      <c r="N89" s="5" t="s">
        <v>5</v>
      </c>
      <c r="O89" s="3" t="s">
        <v>325</v>
      </c>
    </row>
    <row r="90" spans="1:15" x14ac:dyDescent="0.35">
      <c r="A90" s="2">
        <v>88</v>
      </c>
      <c r="B90" s="3" t="s">
        <v>331</v>
      </c>
      <c r="C90" s="2" t="s">
        <v>33</v>
      </c>
      <c r="D90" s="2" t="s">
        <v>115</v>
      </c>
      <c r="E90" s="2" t="s">
        <v>89</v>
      </c>
      <c r="F90" s="3" t="s">
        <v>55</v>
      </c>
      <c r="G90" s="3">
        <v>2019</v>
      </c>
      <c r="H90" s="3">
        <v>2024</v>
      </c>
      <c r="I90" s="2" t="s">
        <v>16</v>
      </c>
      <c r="J90" s="4">
        <v>45616</v>
      </c>
      <c r="K90" s="2" t="s">
        <v>332</v>
      </c>
      <c r="L90" s="2" t="s">
        <v>38</v>
      </c>
      <c r="M90" s="7" t="s">
        <v>5</v>
      </c>
      <c r="N90" s="5" t="s">
        <v>5</v>
      </c>
      <c r="O90" s="3" t="s">
        <v>325</v>
      </c>
    </row>
    <row r="91" spans="1:15" x14ac:dyDescent="0.35">
      <c r="A91" s="2">
        <v>89</v>
      </c>
      <c r="B91" s="3" t="s">
        <v>333</v>
      </c>
      <c r="C91" s="2" t="s">
        <v>33</v>
      </c>
      <c r="D91" s="2" t="s">
        <v>207</v>
      </c>
      <c r="E91" s="2" t="s">
        <v>89</v>
      </c>
      <c r="F91" s="3" t="s">
        <v>55</v>
      </c>
      <c r="G91" s="36">
        <v>2025</v>
      </c>
      <c r="H91" s="37">
        <v>2050</v>
      </c>
      <c r="I91" s="2" t="s">
        <v>16</v>
      </c>
      <c r="J91" s="4">
        <v>45597</v>
      </c>
      <c r="K91" s="2" t="s">
        <v>334</v>
      </c>
      <c r="L91" s="2" t="s">
        <v>38</v>
      </c>
      <c r="M91" s="7" t="s">
        <v>5</v>
      </c>
      <c r="N91" s="5" t="s">
        <v>5</v>
      </c>
      <c r="O91" s="3" t="s">
        <v>325</v>
      </c>
    </row>
    <row r="92" spans="1:15" x14ac:dyDescent="0.35">
      <c r="A92" s="2">
        <v>90</v>
      </c>
      <c r="B92" s="3" t="s">
        <v>335</v>
      </c>
      <c r="C92" s="2" t="s">
        <v>33</v>
      </c>
      <c r="D92" s="2" t="s">
        <v>115</v>
      </c>
      <c r="E92" s="2" t="s">
        <v>89</v>
      </c>
      <c r="F92" s="2" t="s">
        <v>55</v>
      </c>
      <c r="G92" s="2">
        <v>2024</v>
      </c>
      <c r="H92" s="3">
        <v>2025</v>
      </c>
      <c r="I92" s="2" t="s">
        <v>23</v>
      </c>
      <c r="J92" s="4">
        <v>45670</v>
      </c>
      <c r="K92" s="2" t="s">
        <v>334</v>
      </c>
      <c r="L92" s="2" t="s">
        <v>38</v>
      </c>
      <c r="M92" s="7" t="s">
        <v>5</v>
      </c>
      <c r="N92" s="5" t="s">
        <v>5</v>
      </c>
      <c r="O92" s="3" t="s">
        <v>325</v>
      </c>
    </row>
    <row r="93" spans="1:15" x14ac:dyDescent="0.35">
      <c r="A93" s="2">
        <v>91</v>
      </c>
      <c r="B93" s="3" t="s">
        <v>336</v>
      </c>
      <c r="C93" s="2" t="s">
        <v>33</v>
      </c>
      <c r="D93" s="2" t="s">
        <v>118</v>
      </c>
      <c r="E93" s="2" t="s">
        <v>89</v>
      </c>
      <c r="F93" s="2" t="s">
        <v>55</v>
      </c>
      <c r="G93" s="2">
        <v>2024</v>
      </c>
      <c r="H93" s="3">
        <v>2025</v>
      </c>
      <c r="I93" s="2" t="s">
        <v>23</v>
      </c>
      <c r="J93" s="4">
        <v>45670</v>
      </c>
      <c r="K93" s="2" t="s">
        <v>334</v>
      </c>
      <c r="L93" s="2" t="s">
        <v>38</v>
      </c>
      <c r="M93" s="7" t="s">
        <v>5</v>
      </c>
      <c r="N93" s="5" t="s">
        <v>5</v>
      </c>
      <c r="O93" s="3" t="s">
        <v>325</v>
      </c>
    </row>
    <row r="94" spans="1:15" x14ac:dyDescent="0.35">
      <c r="A94" s="2">
        <v>92</v>
      </c>
      <c r="B94" s="3" t="s">
        <v>338</v>
      </c>
      <c r="C94" s="2" t="s">
        <v>33</v>
      </c>
      <c r="D94" s="2" t="s">
        <v>207</v>
      </c>
      <c r="E94" s="2" t="s">
        <v>89</v>
      </c>
      <c r="F94" s="2" t="s">
        <v>55</v>
      </c>
      <c r="G94" s="2">
        <v>2021</v>
      </c>
      <c r="H94" s="3">
        <v>2025</v>
      </c>
      <c r="I94" s="2" t="s">
        <v>16</v>
      </c>
      <c r="J94" s="4">
        <v>45745</v>
      </c>
      <c r="K94" s="2" t="s">
        <v>334</v>
      </c>
      <c r="L94" s="2" t="s">
        <v>38</v>
      </c>
      <c r="M94" s="7" t="s">
        <v>5</v>
      </c>
      <c r="N94" s="5" t="s">
        <v>5</v>
      </c>
      <c r="O94" s="3" t="s">
        <v>337</v>
      </c>
    </row>
    <row r="95" spans="1:15" x14ac:dyDescent="0.35">
      <c r="A95" s="2">
        <v>93</v>
      </c>
      <c r="B95" s="3" t="s">
        <v>339</v>
      </c>
      <c r="C95" s="2" t="s">
        <v>33</v>
      </c>
      <c r="D95" s="2" t="s">
        <v>207</v>
      </c>
      <c r="E95" s="2" t="s">
        <v>89</v>
      </c>
      <c r="F95" s="2" t="s">
        <v>81</v>
      </c>
      <c r="G95" s="2">
        <v>2021</v>
      </c>
      <c r="H95" s="3">
        <v>2025</v>
      </c>
      <c r="I95" s="2" t="s">
        <v>16</v>
      </c>
      <c r="J95" s="4">
        <v>45745</v>
      </c>
      <c r="K95" s="2" t="s">
        <v>334</v>
      </c>
      <c r="L95" s="2" t="s">
        <v>38</v>
      </c>
      <c r="M95" s="7" t="s">
        <v>5</v>
      </c>
      <c r="N95" s="5" t="s">
        <v>5</v>
      </c>
      <c r="O95" s="3" t="s">
        <v>337</v>
      </c>
    </row>
    <row r="96" spans="1:15" x14ac:dyDescent="0.35">
      <c r="A96" s="2">
        <v>94</v>
      </c>
      <c r="B96" s="3" t="s">
        <v>342</v>
      </c>
      <c r="C96" s="2" t="s">
        <v>33</v>
      </c>
      <c r="D96" s="2" t="s">
        <v>29</v>
      </c>
      <c r="E96" s="2" t="s">
        <v>89</v>
      </c>
      <c r="F96" s="3" t="s">
        <v>55</v>
      </c>
      <c r="G96" s="2">
        <v>1969</v>
      </c>
      <c r="H96" s="3">
        <v>2016</v>
      </c>
      <c r="I96" s="2" t="s">
        <v>17</v>
      </c>
      <c r="J96" s="4">
        <v>42604</v>
      </c>
      <c r="K96" s="2" t="s">
        <v>343</v>
      </c>
      <c r="L96" s="2" t="s">
        <v>36</v>
      </c>
      <c r="M96" s="7" t="s">
        <v>5</v>
      </c>
      <c r="N96" s="5" t="s">
        <v>5</v>
      </c>
      <c r="O96" s="3" t="s">
        <v>76</v>
      </c>
    </row>
    <row r="97" spans="1:15" x14ac:dyDescent="0.35">
      <c r="A97" s="2">
        <v>95</v>
      </c>
      <c r="B97" s="3" t="s">
        <v>344</v>
      </c>
      <c r="C97" s="2" t="s">
        <v>33</v>
      </c>
      <c r="D97" s="2" t="s">
        <v>118</v>
      </c>
      <c r="E97" s="2" t="s">
        <v>81</v>
      </c>
      <c r="F97" s="2" t="s">
        <v>42</v>
      </c>
      <c r="G97" s="2">
        <v>2005</v>
      </c>
      <c r="H97" s="3">
        <v>2022</v>
      </c>
      <c r="I97" s="2" t="s">
        <v>23</v>
      </c>
      <c r="J97" s="4">
        <v>45561</v>
      </c>
      <c r="K97" s="2" t="s">
        <v>79</v>
      </c>
      <c r="L97" s="2" t="s">
        <v>36</v>
      </c>
      <c r="M97" s="5" t="s">
        <v>5</v>
      </c>
      <c r="N97" s="5" t="s">
        <v>5</v>
      </c>
      <c r="O97" s="3" t="s">
        <v>92</v>
      </c>
    </row>
    <row r="98" spans="1:15" ht="29" x14ac:dyDescent="0.35">
      <c r="A98" s="2">
        <v>96</v>
      </c>
      <c r="B98" s="3" t="s">
        <v>345</v>
      </c>
      <c r="C98" s="2" t="s">
        <v>33</v>
      </c>
      <c r="D98" s="2" t="s">
        <v>118</v>
      </c>
      <c r="E98" s="2" t="s">
        <v>81</v>
      </c>
      <c r="F98" s="2" t="s">
        <v>42</v>
      </c>
      <c r="G98" s="2">
        <v>2005</v>
      </c>
      <c r="H98" s="3">
        <v>2022</v>
      </c>
      <c r="I98" s="2" t="s">
        <v>23</v>
      </c>
      <c r="J98" s="4">
        <v>45470</v>
      </c>
      <c r="K98" s="2" t="s">
        <v>79</v>
      </c>
      <c r="L98" s="2" t="s">
        <v>36</v>
      </c>
      <c r="M98" s="7" t="s">
        <v>5</v>
      </c>
      <c r="N98" s="5" t="s">
        <v>5</v>
      </c>
      <c r="O98" s="3" t="s">
        <v>370</v>
      </c>
    </row>
    <row r="99" spans="1:15" x14ac:dyDescent="0.35">
      <c r="A99" s="2">
        <v>97</v>
      </c>
      <c r="B99" s="3" t="s">
        <v>346</v>
      </c>
      <c r="C99" s="2" t="s">
        <v>33</v>
      </c>
      <c r="D99" s="2" t="s">
        <v>118</v>
      </c>
      <c r="E99" s="2" t="s">
        <v>81</v>
      </c>
      <c r="F99" s="2" t="s">
        <v>53</v>
      </c>
      <c r="G99" s="2">
        <v>1990</v>
      </c>
      <c r="H99" s="3">
        <v>2022</v>
      </c>
      <c r="I99" s="2" t="s">
        <v>23</v>
      </c>
      <c r="J99" s="4">
        <v>45461</v>
      </c>
      <c r="K99" s="2" t="s">
        <v>347</v>
      </c>
      <c r="L99" s="2" t="s">
        <v>36</v>
      </c>
      <c r="M99" s="7" t="s">
        <v>5</v>
      </c>
      <c r="N99" s="5" t="s">
        <v>5</v>
      </c>
      <c r="O99" s="3" t="s">
        <v>120</v>
      </c>
    </row>
    <row r="100" spans="1:15" x14ac:dyDescent="0.35">
      <c r="A100" s="2">
        <v>98</v>
      </c>
      <c r="B100" s="3" t="s">
        <v>348</v>
      </c>
      <c r="C100" s="2" t="s">
        <v>33</v>
      </c>
      <c r="D100" s="2" t="s">
        <v>118</v>
      </c>
      <c r="E100" s="2" t="s">
        <v>81</v>
      </c>
      <c r="F100" s="2" t="s">
        <v>42</v>
      </c>
      <c r="G100" s="2">
        <v>2005</v>
      </c>
      <c r="H100" s="3">
        <v>2022</v>
      </c>
      <c r="I100" s="2" t="s">
        <v>23</v>
      </c>
      <c r="J100" s="4">
        <v>45439</v>
      </c>
      <c r="K100" s="2" t="s">
        <v>79</v>
      </c>
      <c r="L100" s="2" t="s">
        <v>36</v>
      </c>
      <c r="M100" s="7" t="s">
        <v>5</v>
      </c>
      <c r="N100" s="5" t="s">
        <v>5</v>
      </c>
      <c r="O100" s="3" t="s">
        <v>120</v>
      </c>
    </row>
    <row r="101" spans="1:15" x14ac:dyDescent="0.35">
      <c r="A101" s="2">
        <v>99</v>
      </c>
      <c r="B101" s="3" t="s">
        <v>349</v>
      </c>
      <c r="C101" s="2" t="s">
        <v>33</v>
      </c>
      <c r="D101" s="2" t="s">
        <v>28</v>
      </c>
      <c r="E101" s="2" t="s">
        <v>85</v>
      </c>
      <c r="F101" s="3" t="s">
        <v>55</v>
      </c>
      <c r="G101" s="2">
        <v>2023</v>
      </c>
      <c r="H101" s="3">
        <v>2023</v>
      </c>
      <c r="I101" s="2" t="s">
        <v>17</v>
      </c>
      <c r="J101" s="4">
        <v>44927</v>
      </c>
      <c r="K101" s="2" t="s">
        <v>350</v>
      </c>
      <c r="L101" s="2" t="s">
        <v>36</v>
      </c>
      <c r="M101" s="7" t="s">
        <v>5</v>
      </c>
      <c r="N101" s="5" t="s">
        <v>5</v>
      </c>
      <c r="O101" s="3" t="s">
        <v>130</v>
      </c>
    </row>
    <row r="102" spans="1:15" x14ac:dyDescent="0.35">
      <c r="A102" s="2">
        <v>100</v>
      </c>
      <c r="B102" s="3" t="s">
        <v>351</v>
      </c>
      <c r="C102" s="2" t="s">
        <v>33</v>
      </c>
      <c r="D102" s="2" t="s">
        <v>28</v>
      </c>
      <c r="E102" s="2" t="s">
        <v>85</v>
      </c>
      <c r="F102" s="3" t="s">
        <v>55</v>
      </c>
      <c r="G102" s="2">
        <v>2023</v>
      </c>
      <c r="H102" s="3">
        <v>2023</v>
      </c>
      <c r="I102" s="2" t="s">
        <v>17</v>
      </c>
      <c r="J102" s="4">
        <v>44927</v>
      </c>
      <c r="K102" s="2" t="s">
        <v>350</v>
      </c>
      <c r="L102" s="2" t="s">
        <v>36</v>
      </c>
      <c r="M102" s="7" t="s">
        <v>5</v>
      </c>
      <c r="N102" s="5" t="s">
        <v>5</v>
      </c>
      <c r="O102" s="3" t="s">
        <v>130</v>
      </c>
    </row>
    <row r="103" spans="1:15" x14ac:dyDescent="0.35">
      <c r="A103" s="2">
        <v>101</v>
      </c>
      <c r="B103" s="3" t="s">
        <v>352</v>
      </c>
      <c r="C103" s="2" t="s">
        <v>33</v>
      </c>
      <c r="D103" s="2" t="s">
        <v>28</v>
      </c>
      <c r="E103" s="2" t="s">
        <v>85</v>
      </c>
      <c r="F103" s="3" t="s">
        <v>55</v>
      </c>
      <c r="G103" s="2">
        <v>2023</v>
      </c>
      <c r="H103" s="3">
        <v>2023</v>
      </c>
      <c r="I103" s="2" t="s">
        <v>17</v>
      </c>
      <c r="J103" s="4">
        <v>44927</v>
      </c>
      <c r="K103" s="2" t="s">
        <v>350</v>
      </c>
      <c r="L103" s="2" t="s">
        <v>36</v>
      </c>
      <c r="M103" s="7" t="s">
        <v>5</v>
      </c>
      <c r="N103" s="5" t="s">
        <v>5</v>
      </c>
      <c r="O103" s="3" t="s">
        <v>130</v>
      </c>
    </row>
    <row r="104" spans="1:15" x14ac:dyDescent="0.35">
      <c r="A104" s="2">
        <v>102</v>
      </c>
      <c r="B104" s="3" t="s">
        <v>353</v>
      </c>
      <c r="C104" s="2" t="s">
        <v>33</v>
      </c>
      <c r="D104" s="2" t="s">
        <v>118</v>
      </c>
      <c r="E104" s="2" t="s">
        <v>88</v>
      </c>
      <c r="F104" s="3" t="s">
        <v>53</v>
      </c>
      <c r="G104" s="3">
        <v>2025</v>
      </c>
      <c r="H104" s="3">
        <v>2025</v>
      </c>
      <c r="I104" s="2" t="s">
        <v>10</v>
      </c>
      <c r="J104" s="4">
        <f ca="1">TODAY()</f>
        <v>45895</v>
      </c>
      <c r="K104" s="2" t="s">
        <v>354</v>
      </c>
      <c r="L104" s="2" t="s">
        <v>38</v>
      </c>
      <c r="M104" s="7" t="s">
        <v>5</v>
      </c>
      <c r="N104" s="5" t="s">
        <v>5</v>
      </c>
      <c r="O104" s="3" t="s">
        <v>325</v>
      </c>
    </row>
    <row r="105" spans="1:15" x14ac:dyDescent="0.35">
      <c r="A105" s="2">
        <v>103</v>
      </c>
      <c r="B105" s="3" t="s">
        <v>355</v>
      </c>
      <c r="C105" s="2" t="s">
        <v>33</v>
      </c>
      <c r="D105" s="2" t="s">
        <v>118</v>
      </c>
      <c r="E105" s="2" t="s">
        <v>88</v>
      </c>
      <c r="F105" s="2" t="s">
        <v>53</v>
      </c>
      <c r="G105" s="2">
        <v>2014</v>
      </c>
      <c r="H105" s="3">
        <v>2024</v>
      </c>
      <c r="I105" s="2" t="s">
        <v>23</v>
      </c>
      <c r="J105" s="4">
        <v>45292</v>
      </c>
      <c r="K105" s="2" t="s">
        <v>354</v>
      </c>
      <c r="L105" s="2" t="s">
        <v>38</v>
      </c>
      <c r="M105" s="7" t="s">
        <v>5</v>
      </c>
      <c r="N105" s="5" t="s">
        <v>5</v>
      </c>
      <c r="O105" s="3" t="s">
        <v>325</v>
      </c>
    </row>
    <row r="106" spans="1:15" x14ac:dyDescent="0.35">
      <c r="A106" s="2">
        <v>104</v>
      </c>
      <c r="B106" s="3" t="s">
        <v>356</v>
      </c>
      <c r="C106" s="2" t="s">
        <v>33</v>
      </c>
      <c r="D106" s="2" t="s">
        <v>31</v>
      </c>
      <c r="E106" s="2" t="s">
        <v>89</v>
      </c>
      <c r="F106" s="3" t="s">
        <v>55</v>
      </c>
      <c r="G106" s="2">
        <v>2022</v>
      </c>
      <c r="H106" s="3">
        <v>2022</v>
      </c>
      <c r="I106" s="2" t="s">
        <v>17</v>
      </c>
      <c r="J106" s="4">
        <v>45477</v>
      </c>
      <c r="K106" s="2" t="s">
        <v>357</v>
      </c>
      <c r="L106" s="2" t="s">
        <v>36</v>
      </c>
      <c r="M106" s="7" t="s">
        <v>5</v>
      </c>
      <c r="N106" s="5" t="s">
        <v>5</v>
      </c>
      <c r="O106" s="3" t="s">
        <v>120</v>
      </c>
    </row>
    <row r="107" spans="1:15" x14ac:dyDescent="0.35">
      <c r="A107" s="2">
        <v>105</v>
      </c>
      <c r="B107" s="3" t="s">
        <v>358</v>
      </c>
      <c r="C107" s="2" t="s">
        <v>33</v>
      </c>
      <c r="D107" s="2" t="s">
        <v>31</v>
      </c>
      <c r="E107" s="2" t="s">
        <v>89</v>
      </c>
      <c r="F107" s="3" t="s">
        <v>55</v>
      </c>
      <c r="G107" s="2">
        <v>2020</v>
      </c>
      <c r="H107" s="3">
        <v>2020</v>
      </c>
      <c r="I107" s="2" t="s">
        <v>17</v>
      </c>
      <c r="J107" s="4">
        <v>43885</v>
      </c>
      <c r="K107" s="2" t="s">
        <v>381</v>
      </c>
      <c r="L107" s="2" t="s">
        <v>36</v>
      </c>
      <c r="M107" s="7" t="s">
        <v>5</v>
      </c>
      <c r="N107" s="5" t="s">
        <v>5</v>
      </c>
      <c r="O107" s="3" t="s">
        <v>92</v>
      </c>
    </row>
    <row r="108" spans="1:15" x14ac:dyDescent="0.35">
      <c r="A108" s="2">
        <v>106</v>
      </c>
      <c r="B108" s="3" t="s">
        <v>359</v>
      </c>
      <c r="C108" s="2" t="s">
        <v>33</v>
      </c>
      <c r="D108" s="2" t="s">
        <v>29</v>
      </c>
      <c r="E108" s="2" t="s">
        <v>81</v>
      </c>
      <c r="F108" s="3" t="s">
        <v>55</v>
      </c>
      <c r="G108" s="3">
        <v>2007</v>
      </c>
      <c r="H108" s="3">
        <v>2007</v>
      </c>
      <c r="I108" s="2" t="s">
        <v>17</v>
      </c>
      <c r="J108" s="4">
        <v>45292</v>
      </c>
      <c r="K108" s="2" t="s">
        <v>362</v>
      </c>
      <c r="M108" s="7" t="s">
        <v>5</v>
      </c>
      <c r="N108" s="5" t="s">
        <v>5</v>
      </c>
      <c r="O108" s="3" t="s">
        <v>360</v>
      </c>
    </row>
    <row r="109" spans="1:15" x14ac:dyDescent="0.35">
      <c r="A109" s="2">
        <v>107</v>
      </c>
      <c r="B109" s="3" t="s">
        <v>361</v>
      </c>
      <c r="C109" s="2" t="s">
        <v>33</v>
      </c>
      <c r="D109" s="2" t="s">
        <v>29</v>
      </c>
      <c r="E109" s="2" t="s">
        <v>81</v>
      </c>
      <c r="F109" s="3" t="s">
        <v>55</v>
      </c>
      <c r="G109" s="3">
        <v>2007</v>
      </c>
      <c r="H109" s="3">
        <v>2007</v>
      </c>
      <c r="I109" s="2" t="s">
        <v>17</v>
      </c>
      <c r="J109" s="4">
        <v>45292</v>
      </c>
      <c r="K109" s="2" t="s">
        <v>362</v>
      </c>
      <c r="M109" s="7" t="s">
        <v>5</v>
      </c>
      <c r="N109" s="5" t="s">
        <v>5</v>
      </c>
      <c r="O109" s="3" t="s">
        <v>360</v>
      </c>
    </row>
    <row r="110" spans="1:15" ht="29" x14ac:dyDescent="0.35">
      <c r="A110" s="2">
        <v>108</v>
      </c>
      <c r="B110" s="3" t="s">
        <v>382</v>
      </c>
      <c r="C110" s="2" t="s">
        <v>33</v>
      </c>
      <c r="D110" s="2" t="s">
        <v>31</v>
      </c>
      <c r="E110" s="2" t="s">
        <v>89</v>
      </c>
      <c r="F110" s="3" t="s">
        <v>55</v>
      </c>
      <c r="G110" s="2">
        <v>2022</v>
      </c>
      <c r="H110" s="3">
        <v>2022</v>
      </c>
      <c r="I110" s="2" t="s">
        <v>17</v>
      </c>
      <c r="J110" s="4">
        <v>44626</v>
      </c>
      <c r="K110" s="2" t="s">
        <v>381</v>
      </c>
      <c r="L110" s="2" t="s">
        <v>36</v>
      </c>
      <c r="M110" s="7" t="s">
        <v>5</v>
      </c>
      <c r="N110" s="5" t="s">
        <v>5</v>
      </c>
      <c r="O110" s="3" t="s">
        <v>92</v>
      </c>
    </row>
    <row r="111" spans="1:15" ht="29" x14ac:dyDescent="0.35">
      <c r="A111" s="2">
        <v>109</v>
      </c>
      <c r="B111" s="3" t="s">
        <v>427</v>
      </c>
      <c r="C111" s="2" t="s">
        <v>33</v>
      </c>
      <c r="D111" s="2" t="s">
        <v>31</v>
      </c>
      <c r="E111" s="2" t="s">
        <v>89</v>
      </c>
      <c r="F111" s="3" t="s">
        <v>55</v>
      </c>
      <c r="G111" s="2">
        <v>2022</v>
      </c>
      <c r="H111" s="3">
        <v>2022</v>
      </c>
      <c r="I111" s="2" t="s">
        <v>17</v>
      </c>
      <c r="J111" s="4">
        <v>44625</v>
      </c>
      <c r="K111" s="2" t="s">
        <v>381</v>
      </c>
      <c r="L111" s="2" t="s">
        <v>36</v>
      </c>
      <c r="M111" s="7" t="s">
        <v>5</v>
      </c>
      <c r="N111" s="5" t="s">
        <v>5</v>
      </c>
      <c r="O111" s="3" t="s">
        <v>386</v>
      </c>
    </row>
    <row r="112" spans="1:15" x14ac:dyDescent="0.35">
      <c r="A112" s="2">
        <v>110</v>
      </c>
      <c r="B112" s="3" t="s">
        <v>383</v>
      </c>
      <c r="C112" s="2" t="s">
        <v>33</v>
      </c>
      <c r="D112" s="2" t="s">
        <v>31</v>
      </c>
      <c r="E112" s="2" t="s">
        <v>89</v>
      </c>
      <c r="F112" s="3" t="s">
        <v>55</v>
      </c>
      <c r="G112" s="2">
        <v>2022</v>
      </c>
      <c r="H112" s="3">
        <v>2022</v>
      </c>
      <c r="I112" s="2" t="s">
        <v>17</v>
      </c>
      <c r="J112" s="4">
        <v>44626</v>
      </c>
      <c r="K112" s="2" t="s">
        <v>381</v>
      </c>
      <c r="L112" s="2" t="s">
        <v>36</v>
      </c>
      <c r="M112" s="7" t="s">
        <v>5</v>
      </c>
      <c r="N112" s="5" t="s">
        <v>5</v>
      </c>
      <c r="O112" s="3" t="s">
        <v>385</v>
      </c>
    </row>
    <row r="113" spans="1:15" ht="29" x14ac:dyDescent="0.35">
      <c r="A113" s="2">
        <v>111</v>
      </c>
      <c r="B113" s="3" t="s">
        <v>387</v>
      </c>
      <c r="C113" s="2" t="s">
        <v>33</v>
      </c>
      <c r="D113" s="2" t="s">
        <v>31</v>
      </c>
      <c r="E113" s="2" t="s">
        <v>89</v>
      </c>
      <c r="F113" s="3" t="s">
        <v>55</v>
      </c>
      <c r="G113" s="2">
        <v>2020</v>
      </c>
      <c r="H113" s="3">
        <v>2020</v>
      </c>
      <c r="I113" s="2" t="s">
        <v>17</v>
      </c>
      <c r="J113" s="4">
        <v>44001</v>
      </c>
      <c r="K113" s="2" t="s">
        <v>381</v>
      </c>
      <c r="L113" s="2" t="s">
        <v>36</v>
      </c>
      <c r="M113" s="7" t="s">
        <v>5</v>
      </c>
      <c r="N113" s="5" t="s">
        <v>5</v>
      </c>
      <c r="O113" s="3" t="s">
        <v>384</v>
      </c>
    </row>
    <row r="114" spans="1:15" ht="29" x14ac:dyDescent="0.35">
      <c r="A114" s="2">
        <v>112</v>
      </c>
      <c r="B114" s="3" t="s">
        <v>388</v>
      </c>
      <c r="C114" s="2" t="s">
        <v>33</v>
      </c>
      <c r="D114" s="2" t="s">
        <v>31</v>
      </c>
      <c r="E114" s="2" t="s">
        <v>89</v>
      </c>
      <c r="F114" s="3" t="s">
        <v>55</v>
      </c>
      <c r="G114" s="2">
        <v>2022</v>
      </c>
      <c r="H114" s="3">
        <v>2022</v>
      </c>
      <c r="I114" s="2" t="s">
        <v>17</v>
      </c>
      <c r="J114" s="4">
        <v>44671</v>
      </c>
      <c r="K114" s="2" t="s">
        <v>381</v>
      </c>
      <c r="L114" s="2" t="s">
        <v>36</v>
      </c>
      <c r="M114" s="7" t="s">
        <v>5</v>
      </c>
      <c r="N114" s="5" t="s">
        <v>5</v>
      </c>
      <c r="O114" s="3" t="s">
        <v>389</v>
      </c>
    </row>
    <row r="115" spans="1:15" ht="29" x14ac:dyDescent="0.35">
      <c r="A115" s="2">
        <v>113</v>
      </c>
      <c r="B115" s="3" t="s">
        <v>390</v>
      </c>
      <c r="C115" s="2" t="s">
        <v>33</v>
      </c>
      <c r="D115" s="2" t="s">
        <v>31</v>
      </c>
      <c r="E115" s="2" t="s">
        <v>89</v>
      </c>
      <c r="F115" s="3" t="s">
        <v>55</v>
      </c>
      <c r="G115" s="2">
        <v>2021</v>
      </c>
      <c r="H115" s="3">
        <v>2021</v>
      </c>
      <c r="I115" s="2" t="s">
        <v>17</v>
      </c>
      <c r="J115" s="4">
        <v>44336</v>
      </c>
      <c r="K115" s="2" t="s">
        <v>381</v>
      </c>
      <c r="L115" s="2" t="s">
        <v>36</v>
      </c>
      <c r="M115" s="7" t="s">
        <v>5</v>
      </c>
      <c r="N115" s="5" t="s">
        <v>5</v>
      </c>
      <c r="O115" s="3" t="s">
        <v>552</v>
      </c>
    </row>
    <row r="116" spans="1:15" x14ac:dyDescent="0.35">
      <c r="A116" s="2">
        <v>114</v>
      </c>
      <c r="B116" s="3" t="s">
        <v>393</v>
      </c>
      <c r="C116" s="2" t="s">
        <v>33</v>
      </c>
      <c r="D116" s="2" t="s">
        <v>31</v>
      </c>
      <c r="E116" s="2" t="s">
        <v>89</v>
      </c>
      <c r="F116" s="3" t="s">
        <v>55</v>
      </c>
      <c r="G116" s="2">
        <v>2020</v>
      </c>
      <c r="H116" s="3">
        <v>2020</v>
      </c>
      <c r="I116" s="2" t="s">
        <v>17</v>
      </c>
      <c r="J116" s="4">
        <v>43875</v>
      </c>
      <c r="K116" s="2" t="s">
        <v>381</v>
      </c>
      <c r="L116" s="2" t="s">
        <v>36</v>
      </c>
      <c r="M116" s="7" t="s">
        <v>5</v>
      </c>
      <c r="N116" s="5" t="s">
        <v>5</v>
      </c>
      <c r="O116" s="3" t="s">
        <v>76</v>
      </c>
    </row>
    <row r="117" spans="1:15" ht="29" x14ac:dyDescent="0.35">
      <c r="A117" s="2">
        <v>115</v>
      </c>
      <c r="B117" s="3" t="s">
        <v>392</v>
      </c>
      <c r="C117" s="2" t="s">
        <v>33</v>
      </c>
      <c r="D117" s="2" t="s">
        <v>31</v>
      </c>
      <c r="E117" s="2" t="s">
        <v>89</v>
      </c>
      <c r="F117" s="3" t="s">
        <v>55</v>
      </c>
      <c r="G117" s="2">
        <v>2020</v>
      </c>
      <c r="H117" s="3">
        <v>2020</v>
      </c>
      <c r="J117" s="4">
        <v>43920</v>
      </c>
      <c r="K117" s="2" t="s">
        <v>381</v>
      </c>
      <c r="L117" s="2" t="s">
        <v>36</v>
      </c>
      <c r="M117" s="19" t="s">
        <v>5</v>
      </c>
      <c r="N117" s="5" t="s">
        <v>5</v>
      </c>
      <c r="O117" s="3" t="s">
        <v>391</v>
      </c>
    </row>
    <row r="118" spans="1:15" ht="29" x14ac:dyDescent="0.35">
      <c r="A118" s="2">
        <v>116</v>
      </c>
      <c r="B118" s="3" t="s">
        <v>399</v>
      </c>
      <c r="C118" s="2" t="s">
        <v>34</v>
      </c>
      <c r="D118" s="2" t="s">
        <v>29</v>
      </c>
      <c r="E118" s="2" t="s">
        <v>85</v>
      </c>
      <c r="F118" s="3" t="s">
        <v>402</v>
      </c>
      <c r="G118" s="2">
        <v>2025</v>
      </c>
      <c r="H118" s="3">
        <v>2025</v>
      </c>
      <c r="I118" s="2" t="s">
        <v>17</v>
      </c>
      <c r="J118" s="4">
        <v>45747</v>
      </c>
      <c r="K118" s="2" t="s">
        <v>394</v>
      </c>
      <c r="L118" s="2" t="s">
        <v>40</v>
      </c>
      <c r="M118" s="3" t="s">
        <v>398</v>
      </c>
      <c r="N118" s="5" t="s">
        <v>398</v>
      </c>
      <c r="O118" s="3" t="s">
        <v>401</v>
      </c>
    </row>
    <row r="119" spans="1:15" ht="43.5" x14ac:dyDescent="0.35">
      <c r="A119" s="2">
        <v>117</v>
      </c>
      <c r="B119" s="3" t="s">
        <v>403</v>
      </c>
      <c r="C119" s="2" t="s">
        <v>34</v>
      </c>
      <c r="D119" s="2" t="s">
        <v>29</v>
      </c>
      <c r="E119" s="2" t="s">
        <v>85</v>
      </c>
      <c r="F119" s="3" t="s">
        <v>402</v>
      </c>
      <c r="G119" s="2">
        <v>2025</v>
      </c>
      <c r="H119" s="3">
        <v>2025</v>
      </c>
      <c r="I119" s="2" t="s">
        <v>17</v>
      </c>
      <c r="J119" s="4">
        <v>45747</v>
      </c>
      <c r="K119" s="2" t="s">
        <v>394</v>
      </c>
      <c r="L119" s="2" t="s">
        <v>40</v>
      </c>
      <c r="M119" s="3" t="s">
        <v>398</v>
      </c>
      <c r="N119" s="5" t="s">
        <v>398</v>
      </c>
      <c r="O119" s="3" t="s">
        <v>413</v>
      </c>
    </row>
    <row r="120" spans="1:15" ht="43.5" x14ac:dyDescent="0.35">
      <c r="A120" s="2">
        <v>118</v>
      </c>
      <c r="B120" s="3" t="s">
        <v>404</v>
      </c>
      <c r="C120" s="2" t="s">
        <v>34</v>
      </c>
      <c r="D120" s="2" t="s">
        <v>29</v>
      </c>
      <c r="E120" s="2" t="s">
        <v>85</v>
      </c>
      <c r="F120" s="3" t="s">
        <v>402</v>
      </c>
      <c r="G120" s="2">
        <v>2025</v>
      </c>
      <c r="H120" s="3">
        <v>2025</v>
      </c>
      <c r="I120" s="2" t="s">
        <v>17</v>
      </c>
      <c r="J120" s="4">
        <v>45747</v>
      </c>
      <c r="K120" s="2" t="s">
        <v>394</v>
      </c>
      <c r="L120" s="2" t="s">
        <v>40</v>
      </c>
      <c r="M120" s="3" t="s">
        <v>398</v>
      </c>
      <c r="N120" s="5" t="s">
        <v>398</v>
      </c>
      <c r="O120" s="3" t="s">
        <v>413</v>
      </c>
    </row>
    <row r="121" spans="1:15" ht="29" x14ac:dyDescent="0.35">
      <c r="A121" s="2">
        <v>119</v>
      </c>
      <c r="B121" s="3" t="s">
        <v>405</v>
      </c>
      <c r="C121" s="2" t="s">
        <v>34</v>
      </c>
      <c r="D121" s="2" t="s">
        <v>29</v>
      </c>
      <c r="E121" s="2" t="s">
        <v>85</v>
      </c>
      <c r="F121" s="3" t="s">
        <v>402</v>
      </c>
      <c r="G121" s="2">
        <v>2025</v>
      </c>
      <c r="H121" s="3">
        <v>2025</v>
      </c>
      <c r="I121" s="2" t="s">
        <v>17</v>
      </c>
      <c r="J121" s="4">
        <v>45747</v>
      </c>
      <c r="K121" s="2" t="s">
        <v>394</v>
      </c>
      <c r="L121" s="2" t="s">
        <v>40</v>
      </c>
      <c r="M121" s="3" t="s">
        <v>398</v>
      </c>
      <c r="N121" s="5" t="s">
        <v>398</v>
      </c>
      <c r="O121" s="3" t="s">
        <v>401</v>
      </c>
    </row>
    <row r="122" spans="1:15" ht="29" x14ac:dyDescent="0.35">
      <c r="A122" s="2">
        <v>120</v>
      </c>
      <c r="B122" s="3" t="s">
        <v>406</v>
      </c>
      <c r="C122" s="2" t="s">
        <v>34</v>
      </c>
      <c r="D122" s="2" t="s">
        <v>29</v>
      </c>
      <c r="E122" s="2" t="s">
        <v>85</v>
      </c>
      <c r="F122" s="3" t="s">
        <v>402</v>
      </c>
      <c r="G122" s="2">
        <v>2025</v>
      </c>
      <c r="H122" s="3">
        <v>2025</v>
      </c>
      <c r="I122" s="2" t="s">
        <v>17</v>
      </c>
      <c r="J122" s="4">
        <v>45747</v>
      </c>
      <c r="K122" s="2" t="s">
        <v>394</v>
      </c>
      <c r="L122" s="2" t="s">
        <v>40</v>
      </c>
      <c r="M122" s="3" t="s">
        <v>398</v>
      </c>
      <c r="N122" s="5" t="s">
        <v>398</v>
      </c>
      <c r="O122" s="3" t="s">
        <v>401</v>
      </c>
    </row>
    <row r="123" spans="1:15" ht="29" x14ac:dyDescent="0.35">
      <c r="A123" s="2">
        <v>121</v>
      </c>
      <c r="B123" s="3" t="s">
        <v>407</v>
      </c>
      <c r="C123" s="2" t="s">
        <v>34</v>
      </c>
      <c r="D123" s="2" t="s">
        <v>29</v>
      </c>
      <c r="E123" s="2" t="s">
        <v>85</v>
      </c>
      <c r="F123" s="3" t="s">
        <v>55</v>
      </c>
      <c r="G123" s="2">
        <v>2025</v>
      </c>
      <c r="H123" s="3">
        <v>2025</v>
      </c>
      <c r="I123" s="2" t="s">
        <v>17</v>
      </c>
      <c r="J123" s="4">
        <v>45747</v>
      </c>
      <c r="K123" s="2" t="s">
        <v>394</v>
      </c>
      <c r="L123" s="2" t="s">
        <v>40</v>
      </c>
      <c r="M123" s="3" t="s">
        <v>398</v>
      </c>
      <c r="N123" s="5" t="s">
        <v>398</v>
      </c>
      <c r="O123" s="3" t="s">
        <v>401</v>
      </c>
    </row>
    <row r="124" spans="1:15" ht="29" x14ac:dyDescent="0.35">
      <c r="A124" s="2">
        <v>122</v>
      </c>
      <c r="B124" s="3" t="s">
        <v>408</v>
      </c>
      <c r="C124" s="2" t="s">
        <v>34</v>
      </c>
      <c r="D124" s="2" t="s">
        <v>29</v>
      </c>
      <c r="E124" s="2" t="s">
        <v>85</v>
      </c>
      <c r="F124" s="3" t="s">
        <v>402</v>
      </c>
      <c r="G124" s="2">
        <v>2025</v>
      </c>
      <c r="H124" s="3">
        <v>2025</v>
      </c>
      <c r="I124" s="2" t="s">
        <v>17</v>
      </c>
      <c r="J124" s="4">
        <v>45747</v>
      </c>
      <c r="K124" s="2" t="s">
        <v>394</v>
      </c>
      <c r="L124" s="2" t="s">
        <v>40</v>
      </c>
      <c r="M124" s="3" t="s">
        <v>398</v>
      </c>
      <c r="N124" s="5" t="s">
        <v>398</v>
      </c>
      <c r="O124" s="3" t="s">
        <v>409</v>
      </c>
    </row>
    <row r="125" spans="1:15" ht="29" x14ac:dyDescent="0.35">
      <c r="A125" s="2">
        <v>123</v>
      </c>
      <c r="B125" s="3" t="s">
        <v>410</v>
      </c>
      <c r="C125" s="2" t="s">
        <v>34</v>
      </c>
      <c r="D125" s="2" t="s">
        <v>29</v>
      </c>
      <c r="E125" s="2" t="s">
        <v>85</v>
      </c>
      <c r="F125" s="3" t="s">
        <v>402</v>
      </c>
      <c r="G125" s="2">
        <v>2025</v>
      </c>
      <c r="H125" s="3">
        <v>2025</v>
      </c>
      <c r="I125" s="2" t="s">
        <v>17</v>
      </c>
      <c r="J125" s="4">
        <v>45747</v>
      </c>
      <c r="K125" s="2" t="s">
        <v>394</v>
      </c>
      <c r="L125" s="2" t="s">
        <v>40</v>
      </c>
      <c r="M125" s="3" t="s">
        <v>398</v>
      </c>
      <c r="N125" s="5" t="s">
        <v>398</v>
      </c>
      <c r="O125" s="3" t="s">
        <v>401</v>
      </c>
    </row>
    <row r="126" spans="1:15" ht="29" x14ac:dyDescent="0.35">
      <c r="A126" s="2">
        <v>124</v>
      </c>
      <c r="B126" s="3" t="s">
        <v>411</v>
      </c>
      <c r="C126" s="2" t="s">
        <v>34</v>
      </c>
      <c r="D126" s="2" t="s">
        <v>29</v>
      </c>
      <c r="E126" s="2" t="s">
        <v>85</v>
      </c>
      <c r="F126" s="3" t="s">
        <v>402</v>
      </c>
      <c r="G126" s="2">
        <v>2025</v>
      </c>
      <c r="H126" s="3">
        <v>2025</v>
      </c>
      <c r="I126" s="2" t="s">
        <v>17</v>
      </c>
      <c r="J126" s="4">
        <v>45747</v>
      </c>
      <c r="K126" s="2" t="s">
        <v>394</v>
      </c>
      <c r="L126" s="2" t="s">
        <v>40</v>
      </c>
      <c r="M126" s="3" t="s">
        <v>398</v>
      </c>
      <c r="N126" s="5" t="s">
        <v>398</v>
      </c>
      <c r="O126" s="3" t="s">
        <v>401</v>
      </c>
    </row>
    <row r="127" spans="1:15" ht="29" x14ac:dyDescent="0.35">
      <c r="A127" s="2">
        <v>125</v>
      </c>
      <c r="B127" s="3" t="s">
        <v>412</v>
      </c>
      <c r="C127" s="2" t="s">
        <v>34</v>
      </c>
      <c r="D127" s="2" t="s">
        <v>29</v>
      </c>
      <c r="E127" s="2" t="s">
        <v>85</v>
      </c>
      <c r="F127" s="3" t="s">
        <v>402</v>
      </c>
      <c r="G127" s="2">
        <v>2025</v>
      </c>
      <c r="H127" s="3">
        <v>2025</v>
      </c>
      <c r="I127" s="2" t="s">
        <v>17</v>
      </c>
      <c r="J127" s="4">
        <v>45747</v>
      </c>
      <c r="K127" s="2" t="s">
        <v>394</v>
      </c>
      <c r="L127" s="2" t="s">
        <v>40</v>
      </c>
      <c r="M127" s="3" t="s">
        <v>398</v>
      </c>
      <c r="N127" s="5" t="s">
        <v>398</v>
      </c>
      <c r="O127" s="3" t="s">
        <v>397</v>
      </c>
    </row>
    <row r="128" spans="1:15" ht="43.5" x14ac:dyDescent="0.35">
      <c r="A128" s="2">
        <v>126</v>
      </c>
      <c r="B128" s="3" t="s">
        <v>414</v>
      </c>
      <c r="C128" s="2" t="s">
        <v>34</v>
      </c>
      <c r="D128" s="2" t="s">
        <v>29</v>
      </c>
      <c r="E128" s="2" t="s">
        <v>85</v>
      </c>
      <c r="F128" s="3" t="s">
        <v>55</v>
      </c>
      <c r="G128" s="2">
        <v>2025</v>
      </c>
      <c r="H128" s="3">
        <v>2025</v>
      </c>
      <c r="I128" s="2" t="s">
        <v>17</v>
      </c>
      <c r="J128" s="4">
        <v>45747</v>
      </c>
      <c r="K128" s="2" t="s">
        <v>394</v>
      </c>
      <c r="L128" s="2" t="s">
        <v>40</v>
      </c>
      <c r="M128" s="3" t="s">
        <v>398</v>
      </c>
      <c r="N128" s="5" t="s">
        <v>398</v>
      </c>
      <c r="O128" s="3" t="s">
        <v>415</v>
      </c>
    </row>
    <row r="129" spans="1:15" x14ac:dyDescent="0.35">
      <c r="A129" s="2">
        <v>127</v>
      </c>
      <c r="B129" s="3" t="s">
        <v>416</v>
      </c>
      <c r="C129" s="2" t="s">
        <v>33</v>
      </c>
      <c r="D129" s="2" t="s">
        <v>207</v>
      </c>
      <c r="E129" s="2" t="s">
        <v>89</v>
      </c>
      <c r="F129" s="3" t="s">
        <v>162</v>
      </c>
      <c r="G129" s="2">
        <v>2025</v>
      </c>
      <c r="H129" s="3">
        <v>2025</v>
      </c>
      <c r="I129" s="2" t="s">
        <v>10</v>
      </c>
      <c r="J129" s="4">
        <f ca="1">TODAY()</f>
        <v>45895</v>
      </c>
      <c r="K129" s="2" t="s">
        <v>417</v>
      </c>
      <c r="L129" s="2" t="s">
        <v>40</v>
      </c>
      <c r="M129" s="7" t="s">
        <v>5</v>
      </c>
      <c r="N129" s="5" t="s">
        <v>5</v>
      </c>
      <c r="O129" s="3" t="s">
        <v>112</v>
      </c>
    </row>
    <row r="130" spans="1:15" ht="29" x14ac:dyDescent="0.35">
      <c r="A130" s="2">
        <v>128</v>
      </c>
      <c r="B130" s="3" t="s">
        <v>420</v>
      </c>
      <c r="C130" s="2" t="s">
        <v>33</v>
      </c>
      <c r="D130" s="2" t="s">
        <v>207</v>
      </c>
      <c r="E130" s="2" t="s">
        <v>89</v>
      </c>
      <c r="F130" s="3" t="s">
        <v>55</v>
      </c>
      <c r="G130" s="2">
        <v>2025</v>
      </c>
      <c r="H130" s="3">
        <v>2025</v>
      </c>
      <c r="I130" s="2" t="s">
        <v>17</v>
      </c>
      <c r="J130" s="4" t="s">
        <v>418</v>
      </c>
      <c r="K130" s="2" t="s">
        <v>419</v>
      </c>
      <c r="L130" s="2" t="s">
        <v>36</v>
      </c>
      <c r="M130" s="7" t="s">
        <v>5</v>
      </c>
      <c r="N130" s="5" t="s">
        <v>5</v>
      </c>
      <c r="O130" s="3" t="s">
        <v>74</v>
      </c>
    </row>
    <row r="131" spans="1:15" ht="29" x14ac:dyDescent="0.35">
      <c r="A131" s="2">
        <v>129</v>
      </c>
      <c r="B131" s="3" t="s">
        <v>421</v>
      </c>
      <c r="C131" s="2" t="s">
        <v>33</v>
      </c>
      <c r="D131" s="2" t="s">
        <v>29</v>
      </c>
      <c r="E131" s="2" t="s">
        <v>85</v>
      </c>
      <c r="F131" s="3" t="s">
        <v>55</v>
      </c>
      <c r="G131" s="2">
        <v>2025</v>
      </c>
      <c r="H131" s="3">
        <v>2025</v>
      </c>
      <c r="I131" s="2" t="s">
        <v>12</v>
      </c>
      <c r="J131" s="4">
        <v>45717</v>
      </c>
      <c r="K131" s="2" t="s">
        <v>128</v>
      </c>
      <c r="L131" s="2" t="s">
        <v>36</v>
      </c>
      <c r="M131" s="7" t="s">
        <v>5</v>
      </c>
      <c r="N131" s="5" t="s">
        <v>5</v>
      </c>
      <c r="O131" s="3" t="s">
        <v>75</v>
      </c>
    </row>
    <row r="132" spans="1:15" ht="43.5" x14ac:dyDescent="0.35">
      <c r="A132" s="2">
        <v>130</v>
      </c>
      <c r="B132" s="3" t="s">
        <v>422</v>
      </c>
      <c r="C132" s="2" t="s">
        <v>33</v>
      </c>
      <c r="D132" s="2" t="s">
        <v>118</v>
      </c>
      <c r="E132" s="2" t="s">
        <v>81</v>
      </c>
      <c r="F132" s="3" t="s">
        <v>55</v>
      </c>
      <c r="G132" s="2">
        <v>2024</v>
      </c>
      <c r="H132" s="3">
        <v>2024</v>
      </c>
      <c r="I132" s="2" t="s">
        <v>83</v>
      </c>
      <c r="J132" s="4" t="s">
        <v>423</v>
      </c>
      <c r="K132" s="2" t="s">
        <v>424</v>
      </c>
      <c r="L132" s="2" t="s">
        <v>40</v>
      </c>
      <c r="M132" s="7" t="s">
        <v>5</v>
      </c>
      <c r="N132" s="5" t="s">
        <v>5</v>
      </c>
      <c r="O132" s="3" t="s">
        <v>425</v>
      </c>
    </row>
    <row r="133" spans="1:15" x14ac:dyDescent="0.35">
      <c r="A133" s="2">
        <v>131</v>
      </c>
      <c r="B133" s="3" t="s">
        <v>428</v>
      </c>
      <c r="C133" s="2" t="s">
        <v>33</v>
      </c>
      <c r="D133" s="2" t="s">
        <v>27</v>
      </c>
      <c r="E133" s="2" t="s">
        <v>89</v>
      </c>
      <c r="F133" s="3" t="s">
        <v>81</v>
      </c>
      <c r="G133" s="2">
        <v>2050</v>
      </c>
      <c r="H133" s="3">
        <v>2050</v>
      </c>
      <c r="I133" s="2" t="s">
        <v>17</v>
      </c>
      <c r="J133" s="4">
        <v>44626</v>
      </c>
      <c r="K133" s="2" t="s">
        <v>381</v>
      </c>
      <c r="L133" s="2" t="s">
        <v>36</v>
      </c>
      <c r="M133" s="7" t="s">
        <v>5</v>
      </c>
      <c r="N133" s="5" t="s">
        <v>5</v>
      </c>
      <c r="O133" s="3" t="s">
        <v>430</v>
      </c>
    </row>
    <row r="134" spans="1:15" ht="29" x14ac:dyDescent="0.35">
      <c r="A134" s="2">
        <v>132</v>
      </c>
      <c r="B134" s="3" t="s">
        <v>432</v>
      </c>
      <c r="C134" s="2" t="s">
        <v>33</v>
      </c>
      <c r="D134" s="2" t="s">
        <v>31</v>
      </c>
      <c r="E134" s="2" t="s">
        <v>89</v>
      </c>
      <c r="F134" s="3" t="s">
        <v>55</v>
      </c>
      <c r="G134" s="2">
        <v>2018</v>
      </c>
      <c r="H134" s="3">
        <v>2018</v>
      </c>
      <c r="I134" s="2" t="s">
        <v>17</v>
      </c>
      <c r="J134" s="4">
        <v>44153</v>
      </c>
      <c r="K134" s="2" t="s">
        <v>381</v>
      </c>
      <c r="L134" s="2" t="s">
        <v>36</v>
      </c>
      <c r="M134" s="7" t="s">
        <v>5</v>
      </c>
      <c r="N134" s="5" t="s">
        <v>5</v>
      </c>
      <c r="O134" s="3" t="s">
        <v>431</v>
      </c>
    </row>
    <row r="135" spans="1:15" ht="43.5" x14ac:dyDescent="0.35">
      <c r="A135" s="2">
        <v>133</v>
      </c>
      <c r="B135" s="3" t="s">
        <v>433</v>
      </c>
      <c r="C135" s="2" t="s">
        <v>33</v>
      </c>
      <c r="D135" s="2" t="s">
        <v>31</v>
      </c>
      <c r="E135" s="2" t="s">
        <v>89</v>
      </c>
      <c r="F135" s="3" t="s">
        <v>55</v>
      </c>
      <c r="G135" s="2">
        <v>2020</v>
      </c>
      <c r="H135" s="3">
        <v>2020</v>
      </c>
      <c r="I135" s="2" t="s">
        <v>17</v>
      </c>
      <c r="J135" s="4">
        <v>44159</v>
      </c>
      <c r="K135" s="2" t="s">
        <v>381</v>
      </c>
      <c r="L135" s="2" t="s">
        <v>36</v>
      </c>
      <c r="M135" s="7" t="s">
        <v>5</v>
      </c>
      <c r="N135" s="5" t="s">
        <v>5</v>
      </c>
      <c r="O135" s="3" t="s">
        <v>435</v>
      </c>
    </row>
    <row r="136" spans="1:15" ht="43.5" x14ac:dyDescent="0.35">
      <c r="A136" s="2">
        <v>134</v>
      </c>
      <c r="B136" s="3" t="s">
        <v>436</v>
      </c>
      <c r="C136" s="2" t="s">
        <v>33</v>
      </c>
      <c r="D136" s="2" t="s">
        <v>31</v>
      </c>
      <c r="E136" s="2" t="s">
        <v>89</v>
      </c>
      <c r="F136" s="3" t="s">
        <v>55</v>
      </c>
      <c r="G136" s="2">
        <v>2020</v>
      </c>
      <c r="H136" s="3">
        <v>2020</v>
      </c>
      <c r="I136" s="2" t="s">
        <v>17</v>
      </c>
      <c r="J136" s="4">
        <v>44165</v>
      </c>
      <c r="K136" s="2" t="s">
        <v>381</v>
      </c>
      <c r="L136" s="2" t="s">
        <v>36</v>
      </c>
      <c r="M136" s="7" t="s">
        <v>5</v>
      </c>
      <c r="N136" s="5" t="s">
        <v>5</v>
      </c>
      <c r="O136" s="3" t="s">
        <v>435</v>
      </c>
    </row>
    <row r="137" spans="1:15" x14ac:dyDescent="0.35">
      <c r="A137" s="2">
        <v>135</v>
      </c>
      <c r="B137" s="3" t="s">
        <v>437</v>
      </c>
      <c r="C137" s="2" t="s">
        <v>33</v>
      </c>
      <c r="D137" s="2" t="s">
        <v>31</v>
      </c>
      <c r="E137" s="2" t="s">
        <v>89</v>
      </c>
      <c r="F137" s="3" t="s">
        <v>55</v>
      </c>
      <c r="G137" s="2">
        <v>2020</v>
      </c>
      <c r="H137" s="3">
        <v>2020</v>
      </c>
      <c r="I137" s="2" t="s">
        <v>17</v>
      </c>
      <c r="J137" s="4">
        <v>44158</v>
      </c>
      <c r="K137" s="2" t="s">
        <v>381</v>
      </c>
      <c r="L137" s="2" t="s">
        <v>36</v>
      </c>
      <c r="M137" s="7" t="s">
        <v>5</v>
      </c>
      <c r="N137" s="5" t="s">
        <v>5</v>
      </c>
      <c r="O137" s="3" t="s">
        <v>438</v>
      </c>
    </row>
    <row r="138" spans="1:15" ht="29" x14ac:dyDescent="0.35">
      <c r="A138" s="2">
        <v>136</v>
      </c>
      <c r="B138" s="3" t="s">
        <v>439</v>
      </c>
      <c r="C138" s="2" t="s">
        <v>33</v>
      </c>
      <c r="D138" s="2" t="s">
        <v>31</v>
      </c>
      <c r="E138" s="2" t="s">
        <v>89</v>
      </c>
      <c r="F138" s="3" t="s">
        <v>55</v>
      </c>
      <c r="G138" s="2">
        <v>2022</v>
      </c>
      <c r="H138" s="3">
        <v>2022</v>
      </c>
      <c r="I138" s="2" t="s">
        <v>17</v>
      </c>
      <c r="J138" s="4">
        <v>44624</v>
      </c>
      <c r="K138" s="2" t="s">
        <v>381</v>
      </c>
      <c r="L138" s="2" t="s">
        <v>36</v>
      </c>
      <c r="M138" s="7" t="s">
        <v>5</v>
      </c>
      <c r="N138" s="5" t="s">
        <v>5</v>
      </c>
      <c r="O138" s="3" t="s">
        <v>431</v>
      </c>
    </row>
    <row r="139" spans="1:15" x14ac:dyDescent="0.35">
      <c r="A139" s="2">
        <v>137</v>
      </c>
      <c r="B139" s="3" t="s">
        <v>440</v>
      </c>
      <c r="C139" s="2" t="s">
        <v>33</v>
      </c>
      <c r="D139" s="2" t="s">
        <v>31</v>
      </c>
      <c r="E139" s="2" t="s">
        <v>89</v>
      </c>
      <c r="F139" s="3" t="s">
        <v>55</v>
      </c>
      <c r="G139" s="2">
        <v>2020</v>
      </c>
      <c r="H139" s="3">
        <v>2020</v>
      </c>
      <c r="I139" s="2" t="s">
        <v>17</v>
      </c>
      <c r="J139" s="4">
        <v>44164</v>
      </c>
      <c r="K139" s="2" t="s">
        <v>381</v>
      </c>
      <c r="L139" s="2" t="s">
        <v>36</v>
      </c>
      <c r="M139" s="7" t="s">
        <v>5</v>
      </c>
      <c r="N139" s="5" t="s">
        <v>5</v>
      </c>
      <c r="O139" s="3" t="s">
        <v>442</v>
      </c>
    </row>
    <row r="140" spans="1:15" x14ac:dyDescent="0.35">
      <c r="A140" s="2">
        <v>138</v>
      </c>
      <c r="B140" s="3" t="s">
        <v>443</v>
      </c>
      <c r="C140" s="2" t="s">
        <v>33</v>
      </c>
      <c r="D140" s="2" t="s">
        <v>31</v>
      </c>
      <c r="E140" s="2" t="s">
        <v>89</v>
      </c>
      <c r="F140" s="3" t="s">
        <v>55</v>
      </c>
      <c r="G140" s="2">
        <v>2020</v>
      </c>
      <c r="H140" s="3">
        <v>2020</v>
      </c>
      <c r="I140" s="2" t="s">
        <v>17</v>
      </c>
      <c r="J140" s="4">
        <v>44164</v>
      </c>
      <c r="K140" s="2" t="s">
        <v>381</v>
      </c>
      <c r="L140" s="2" t="s">
        <v>36</v>
      </c>
      <c r="M140" s="7" t="s">
        <v>5</v>
      </c>
      <c r="N140" s="5" t="s">
        <v>5</v>
      </c>
      <c r="O140" s="3" t="s">
        <v>400</v>
      </c>
    </row>
    <row r="141" spans="1:15" x14ac:dyDescent="0.35">
      <c r="A141" s="2">
        <v>139</v>
      </c>
      <c r="B141" s="3" t="s">
        <v>444</v>
      </c>
      <c r="C141" s="2" t="s">
        <v>33</v>
      </c>
      <c r="D141" s="2" t="s">
        <v>31</v>
      </c>
      <c r="E141" s="2" t="s">
        <v>89</v>
      </c>
      <c r="F141" s="3" t="s">
        <v>55</v>
      </c>
      <c r="G141" s="2">
        <v>2018</v>
      </c>
      <c r="H141" s="3">
        <v>2018</v>
      </c>
      <c r="I141" s="2" t="s">
        <v>17</v>
      </c>
      <c r="J141" s="4">
        <v>43875</v>
      </c>
      <c r="K141" s="2" t="s">
        <v>381</v>
      </c>
      <c r="L141" s="2" t="s">
        <v>36</v>
      </c>
      <c r="M141" s="7" t="s">
        <v>5</v>
      </c>
      <c r="N141" s="5" t="s">
        <v>5</v>
      </c>
      <c r="O141" s="3" t="s">
        <v>183</v>
      </c>
    </row>
    <row r="142" spans="1:15" x14ac:dyDescent="0.35">
      <c r="A142" s="2">
        <v>140</v>
      </c>
      <c r="B142" s="3" t="s">
        <v>445</v>
      </c>
      <c r="C142" s="2" t="s">
        <v>33</v>
      </c>
      <c r="D142" s="2" t="s">
        <v>31</v>
      </c>
      <c r="E142" s="2" t="s">
        <v>89</v>
      </c>
      <c r="F142" s="3" t="s">
        <v>55</v>
      </c>
      <c r="G142" s="2">
        <v>2018</v>
      </c>
      <c r="H142" s="3">
        <v>2018</v>
      </c>
      <c r="I142" s="2" t="s">
        <v>17</v>
      </c>
      <c r="J142" s="4">
        <v>43876</v>
      </c>
      <c r="K142" s="2" t="s">
        <v>381</v>
      </c>
      <c r="L142" s="2" t="s">
        <v>36</v>
      </c>
      <c r="M142" s="7" t="s">
        <v>5</v>
      </c>
      <c r="N142" s="5" t="s">
        <v>5</v>
      </c>
      <c r="O142" s="3" t="s">
        <v>130</v>
      </c>
    </row>
    <row r="143" spans="1:15" ht="29" x14ac:dyDescent="0.35">
      <c r="A143" s="2">
        <v>141</v>
      </c>
      <c r="B143" s="3" t="s">
        <v>446</v>
      </c>
      <c r="C143" s="2" t="s">
        <v>33</v>
      </c>
      <c r="D143" s="2" t="s">
        <v>31</v>
      </c>
      <c r="E143" s="2" t="s">
        <v>89</v>
      </c>
      <c r="F143" s="3" t="s">
        <v>55</v>
      </c>
      <c r="G143" s="2">
        <v>2020</v>
      </c>
      <c r="H143" s="3">
        <v>2020</v>
      </c>
      <c r="I143" s="2" t="s">
        <v>83</v>
      </c>
      <c r="J143" s="4">
        <v>43872</v>
      </c>
      <c r="K143" s="2" t="s">
        <v>447</v>
      </c>
      <c r="L143" s="2" t="s">
        <v>36</v>
      </c>
      <c r="M143" s="6" t="s">
        <v>5</v>
      </c>
      <c r="N143" s="5" t="s">
        <v>5</v>
      </c>
      <c r="O143" s="3" t="s">
        <v>449</v>
      </c>
    </row>
    <row r="144" spans="1:15" x14ac:dyDescent="0.35">
      <c r="A144" s="2">
        <v>142</v>
      </c>
      <c r="B144" s="3" t="s">
        <v>450</v>
      </c>
      <c r="C144" s="2" t="s">
        <v>33</v>
      </c>
      <c r="D144" s="2" t="s">
        <v>118</v>
      </c>
      <c r="E144" s="2" t="s">
        <v>85</v>
      </c>
      <c r="F144" s="3" t="s">
        <v>55</v>
      </c>
      <c r="G144" s="2">
        <v>2025</v>
      </c>
      <c r="H144" s="3">
        <v>2025</v>
      </c>
      <c r="I144" s="2" t="s">
        <v>83</v>
      </c>
      <c r="J144" s="4">
        <v>45751</v>
      </c>
      <c r="K144" s="2" t="s">
        <v>160</v>
      </c>
      <c r="L144" s="2" t="s">
        <v>38</v>
      </c>
      <c r="M144" s="7" t="s">
        <v>5</v>
      </c>
      <c r="N144" s="5" t="s">
        <v>5</v>
      </c>
      <c r="O144" s="3" t="s">
        <v>451</v>
      </c>
    </row>
    <row r="145" spans="1:15" x14ac:dyDescent="0.35">
      <c r="A145" s="2">
        <v>143</v>
      </c>
      <c r="B145" s="3" t="s">
        <v>452</v>
      </c>
      <c r="C145" s="2" t="s">
        <v>33</v>
      </c>
      <c r="D145" s="2" t="s">
        <v>118</v>
      </c>
      <c r="E145" s="2" t="s">
        <v>81</v>
      </c>
      <c r="F145" s="3" t="s">
        <v>55</v>
      </c>
      <c r="G145" s="2">
        <v>2025</v>
      </c>
      <c r="H145" s="3">
        <v>2025</v>
      </c>
      <c r="I145" s="2" t="s">
        <v>16</v>
      </c>
      <c r="J145" s="4">
        <v>45727</v>
      </c>
      <c r="K145" s="2" t="s">
        <v>454</v>
      </c>
      <c r="L145" s="2" t="s">
        <v>38</v>
      </c>
      <c r="M145" s="7" t="s">
        <v>5</v>
      </c>
      <c r="N145" s="5" t="s">
        <v>5</v>
      </c>
      <c r="O145" s="3" t="s">
        <v>453</v>
      </c>
    </row>
    <row r="146" spans="1:15" x14ac:dyDescent="0.35">
      <c r="A146" s="2">
        <v>144</v>
      </c>
      <c r="B146" s="3" t="s">
        <v>455</v>
      </c>
      <c r="C146" s="2" t="s">
        <v>33</v>
      </c>
      <c r="D146" s="2" t="s">
        <v>118</v>
      </c>
      <c r="E146" s="2" t="s">
        <v>81</v>
      </c>
      <c r="F146" s="3" t="s">
        <v>55</v>
      </c>
      <c r="G146" s="2">
        <v>2024</v>
      </c>
      <c r="H146" s="3">
        <v>2024</v>
      </c>
      <c r="I146" s="2" t="s">
        <v>17</v>
      </c>
      <c r="J146" s="4">
        <v>45624</v>
      </c>
      <c r="K146" s="2" t="s">
        <v>456</v>
      </c>
      <c r="L146" s="2" t="s">
        <v>36</v>
      </c>
      <c r="M146" s="7" t="s">
        <v>5</v>
      </c>
      <c r="N146" s="5" t="s">
        <v>5</v>
      </c>
      <c r="O146" s="3" t="s">
        <v>457</v>
      </c>
    </row>
    <row r="147" spans="1:15" ht="43.5" x14ac:dyDescent="0.35">
      <c r="A147" s="2">
        <v>145</v>
      </c>
      <c r="B147" s="3" t="s">
        <v>459</v>
      </c>
      <c r="C147" s="2" t="s">
        <v>33</v>
      </c>
      <c r="D147" s="2" t="s">
        <v>118</v>
      </c>
      <c r="E147" s="2" t="s">
        <v>81</v>
      </c>
      <c r="F147" s="3" t="s">
        <v>42</v>
      </c>
      <c r="G147" s="2">
        <v>2008</v>
      </c>
      <c r="H147" s="3">
        <v>2025</v>
      </c>
      <c r="I147" s="2" t="s">
        <v>10</v>
      </c>
      <c r="J147" s="4">
        <f ca="1">TODAY()</f>
        <v>45895</v>
      </c>
      <c r="K147" s="2" t="s">
        <v>460</v>
      </c>
      <c r="L147" s="2" t="s">
        <v>38</v>
      </c>
      <c r="M147" s="7" t="s">
        <v>5</v>
      </c>
      <c r="N147" s="7" t="s">
        <v>5</v>
      </c>
      <c r="O147" s="3" t="s">
        <v>458</v>
      </c>
    </row>
    <row r="148" spans="1:15" x14ac:dyDescent="0.35">
      <c r="A148" s="2">
        <v>146</v>
      </c>
      <c r="B148" s="3" t="s">
        <v>461</v>
      </c>
      <c r="C148" s="2" t="s">
        <v>33</v>
      </c>
      <c r="D148" s="2" t="s">
        <v>118</v>
      </c>
      <c r="E148" s="2" t="s">
        <v>81</v>
      </c>
      <c r="F148" s="3" t="s">
        <v>55</v>
      </c>
      <c r="G148" s="2">
        <v>2022</v>
      </c>
      <c r="H148" s="3">
        <v>2022</v>
      </c>
      <c r="I148" s="2" t="s">
        <v>17</v>
      </c>
      <c r="J148" s="4">
        <v>44562</v>
      </c>
      <c r="K148" s="2" t="s">
        <v>347</v>
      </c>
      <c r="L148" s="2" t="s">
        <v>36</v>
      </c>
      <c r="M148" s="7" t="s">
        <v>5</v>
      </c>
      <c r="N148" s="5" t="s">
        <v>5</v>
      </c>
      <c r="O148" s="3" t="s">
        <v>120</v>
      </c>
    </row>
    <row r="149" spans="1:15" x14ac:dyDescent="0.35">
      <c r="A149" s="2">
        <v>147</v>
      </c>
      <c r="B149" s="3" t="s">
        <v>462</v>
      </c>
      <c r="C149" s="2" t="s">
        <v>33</v>
      </c>
      <c r="D149" s="2" t="s">
        <v>118</v>
      </c>
      <c r="E149" s="2" t="s">
        <v>81</v>
      </c>
      <c r="F149" s="3" t="s">
        <v>55</v>
      </c>
      <c r="G149" s="2">
        <v>2022</v>
      </c>
      <c r="H149" s="3">
        <v>2024</v>
      </c>
      <c r="I149" s="2" t="s">
        <v>16</v>
      </c>
      <c r="J149" s="4">
        <v>45292</v>
      </c>
      <c r="K149" s="2" t="s">
        <v>204</v>
      </c>
      <c r="L149" s="2" t="s">
        <v>36</v>
      </c>
      <c r="M149" s="7" t="s">
        <v>5</v>
      </c>
      <c r="N149" s="5" t="s">
        <v>5</v>
      </c>
      <c r="O149" s="3" t="s">
        <v>463</v>
      </c>
    </row>
    <row r="150" spans="1:15" ht="43.5" x14ac:dyDescent="0.35">
      <c r="A150" s="2">
        <v>148</v>
      </c>
      <c r="B150" s="3" t="s">
        <v>464</v>
      </c>
      <c r="C150" s="2" t="s">
        <v>33</v>
      </c>
      <c r="D150" s="2" t="s">
        <v>118</v>
      </c>
      <c r="E150" s="2" t="s">
        <v>81</v>
      </c>
      <c r="F150" s="3" t="s">
        <v>162</v>
      </c>
      <c r="G150" s="2">
        <v>2025</v>
      </c>
      <c r="H150" s="3">
        <v>2024</v>
      </c>
      <c r="I150" s="2" t="s">
        <v>83</v>
      </c>
      <c r="J150" s="4">
        <v>45246</v>
      </c>
      <c r="K150" s="2" t="s">
        <v>79</v>
      </c>
      <c r="L150" s="2" t="s">
        <v>36</v>
      </c>
      <c r="M150" s="7" t="s">
        <v>5</v>
      </c>
      <c r="N150" s="5" t="s">
        <v>5</v>
      </c>
      <c r="O150" s="3" t="s">
        <v>465</v>
      </c>
    </row>
    <row r="151" spans="1:15" ht="29" x14ac:dyDescent="0.35">
      <c r="A151" s="2">
        <v>149</v>
      </c>
      <c r="B151" s="3" t="s">
        <v>466</v>
      </c>
      <c r="C151" s="2" t="s">
        <v>33</v>
      </c>
      <c r="D151" s="2" t="s">
        <v>29</v>
      </c>
      <c r="E151" s="2" t="s">
        <v>85</v>
      </c>
      <c r="F151" s="3" t="s">
        <v>55</v>
      </c>
      <c r="G151" s="2">
        <v>2018</v>
      </c>
      <c r="H151" s="3">
        <v>2018</v>
      </c>
      <c r="I151" s="2" t="s">
        <v>17</v>
      </c>
      <c r="J151" s="4">
        <v>47063</v>
      </c>
      <c r="K151" s="2" t="s">
        <v>350</v>
      </c>
      <c r="L151" s="2" t="s">
        <v>36</v>
      </c>
      <c r="M151" s="7" t="s">
        <v>5</v>
      </c>
      <c r="N151" s="5" t="s">
        <v>5</v>
      </c>
      <c r="O151" s="3" t="s">
        <v>468</v>
      </c>
    </row>
    <row r="152" spans="1:15" ht="29" x14ac:dyDescent="0.35">
      <c r="A152" s="2">
        <v>150</v>
      </c>
      <c r="B152" s="3" t="s">
        <v>469</v>
      </c>
      <c r="C152" s="2" t="s">
        <v>33</v>
      </c>
      <c r="D152" s="2" t="s">
        <v>29</v>
      </c>
      <c r="E152" s="2" t="s">
        <v>81</v>
      </c>
      <c r="F152" s="3" t="s">
        <v>55</v>
      </c>
      <c r="G152" s="2">
        <v>2025</v>
      </c>
      <c r="H152" s="3">
        <v>2025</v>
      </c>
      <c r="I152" s="2" t="s">
        <v>14</v>
      </c>
      <c r="J152" s="4">
        <v>45817</v>
      </c>
      <c r="K152" s="2" t="s">
        <v>470</v>
      </c>
      <c r="L152" s="2" t="s">
        <v>36</v>
      </c>
      <c r="M152" s="7" t="s">
        <v>5</v>
      </c>
      <c r="N152" s="5" t="s">
        <v>5</v>
      </c>
      <c r="O152" s="3" t="s">
        <v>473</v>
      </c>
    </row>
    <row r="153" spans="1:15" x14ac:dyDescent="0.35">
      <c r="A153" s="2">
        <v>151</v>
      </c>
      <c r="B153" s="3" t="s">
        <v>471</v>
      </c>
      <c r="C153" s="2" t="s">
        <v>33</v>
      </c>
      <c r="D153" s="2" t="s">
        <v>29</v>
      </c>
      <c r="E153" s="2" t="s">
        <v>81</v>
      </c>
      <c r="F153" s="3" t="s">
        <v>55</v>
      </c>
      <c r="G153" s="2">
        <v>2025</v>
      </c>
      <c r="H153" s="3">
        <v>2025</v>
      </c>
      <c r="I153" s="2" t="s">
        <v>16</v>
      </c>
      <c r="J153" s="4">
        <v>45817</v>
      </c>
      <c r="K153" s="2" t="s">
        <v>470</v>
      </c>
      <c r="L153" s="2" t="s">
        <v>36</v>
      </c>
      <c r="M153" s="7" t="s">
        <v>5</v>
      </c>
      <c r="N153" s="5" t="s">
        <v>5</v>
      </c>
      <c r="O153" s="3" t="s">
        <v>472</v>
      </c>
    </row>
    <row r="154" spans="1:15" ht="29" x14ac:dyDescent="0.35">
      <c r="A154" s="2">
        <v>152</v>
      </c>
      <c r="B154" s="3" t="s">
        <v>474</v>
      </c>
      <c r="C154" s="2" t="s">
        <v>33</v>
      </c>
      <c r="D154" s="2" t="s">
        <v>29</v>
      </c>
      <c r="E154" s="2" t="s">
        <v>81</v>
      </c>
      <c r="F154" s="3" t="s">
        <v>55</v>
      </c>
      <c r="G154" s="2">
        <v>2025</v>
      </c>
      <c r="H154" s="3">
        <v>2024</v>
      </c>
      <c r="I154" s="2" t="s">
        <v>83</v>
      </c>
      <c r="J154" s="4">
        <v>45587</v>
      </c>
      <c r="K154" s="2" t="s">
        <v>470</v>
      </c>
      <c r="L154" s="2" t="s">
        <v>36</v>
      </c>
      <c r="M154" s="7" t="s">
        <v>5</v>
      </c>
      <c r="N154" s="5" t="s">
        <v>5</v>
      </c>
      <c r="O154" s="3" t="s">
        <v>478</v>
      </c>
    </row>
    <row r="155" spans="1:15" ht="29" x14ac:dyDescent="0.35">
      <c r="A155" s="2">
        <v>153</v>
      </c>
      <c r="B155" s="3" t="s">
        <v>475</v>
      </c>
      <c r="C155" s="2" t="s">
        <v>33</v>
      </c>
      <c r="D155" s="2" t="s">
        <v>29</v>
      </c>
      <c r="E155" s="2" t="s">
        <v>81</v>
      </c>
      <c r="F155" s="3" t="s">
        <v>55</v>
      </c>
      <c r="G155" s="2">
        <v>2024</v>
      </c>
      <c r="H155" s="3">
        <v>2024</v>
      </c>
      <c r="I155" s="2" t="s">
        <v>83</v>
      </c>
      <c r="J155" s="4">
        <v>45463</v>
      </c>
      <c r="K155" s="2" t="s">
        <v>470</v>
      </c>
      <c r="L155" s="2" t="s">
        <v>36</v>
      </c>
      <c r="M155" s="7" t="s">
        <v>5</v>
      </c>
      <c r="N155" s="5" t="s">
        <v>5</v>
      </c>
      <c r="O155" s="3" t="s">
        <v>478</v>
      </c>
    </row>
    <row r="156" spans="1:15" ht="29" x14ac:dyDescent="0.35">
      <c r="A156" s="2">
        <v>154</v>
      </c>
      <c r="B156" s="3" t="s">
        <v>476</v>
      </c>
      <c r="C156" s="2" t="s">
        <v>33</v>
      </c>
      <c r="D156" s="2" t="s">
        <v>29</v>
      </c>
      <c r="E156" s="2" t="s">
        <v>81</v>
      </c>
      <c r="F156" s="3" t="s">
        <v>55</v>
      </c>
      <c r="G156" s="2">
        <v>2024</v>
      </c>
      <c r="H156" s="3">
        <v>2024</v>
      </c>
      <c r="I156" s="2" t="s">
        <v>83</v>
      </c>
      <c r="J156" s="4">
        <v>45587</v>
      </c>
      <c r="K156" s="2" t="s">
        <v>470</v>
      </c>
      <c r="L156" s="2" t="s">
        <v>36</v>
      </c>
      <c r="M156" s="7" t="s">
        <v>5</v>
      </c>
      <c r="N156" s="5" t="s">
        <v>5</v>
      </c>
      <c r="O156" s="3" t="s">
        <v>479</v>
      </c>
    </row>
    <row r="157" spans="1:15" x14ac:dyDescent="0.35">
      <c r="A157" s="2">
        <v>155</v>
      </c>
      <c r="B157" s="3" t="s">
        <v>477</v>
      </c>
      <c r="C157" s="2" t="s">
        <v>33</v>
      </c>
      <c r="D157" s="2" t="s">
        <v>30</v>
      </c>
      <c r="E157" s="2" t="s">
        <v>81</v>
      </c>
      <c r="F157" s="3" t="s">
        <v>55</v>
      </c>
      <c r="G157" s="2">
        <v>2024</v>
      </c>
      <c r="H157" s="3">
        <v>2024</v>
      </c>
      <c r="I157" s="2" t="s">
        <v>83</v>
      </c>
      <c r="J157" s="4">
        <v>45587</v>
      </c>
      <c r="K157" s="2" t="s">
        <v>470</v>
      </c>
      <c r="L157" s="2" t="s">
        <v>36</v>
      </c>
      <c r="M157" s="7" t="s">
        <v>5</v>
      </c>
      <c r="N157" s="5" t="s">
        <v>5</v>
      </c>
      <c r="O157" s="3" t="s">
        <v>480</v>
      </c>
    </row>
    <row r="158" spans="1:15" ht="29" x14ac:dyDescent="0.35">
      <c r="A158" s="2">
        <v>156</v>
      </c>
      <c r="B158" s="3" t="s">
        <v>553</v>
      </c>
      <c r="C158" s="2" t="s">
        <v>33</v>
      </c>
      <c r="D158" s="2" t="s">
        <v>31</v>
      </c>
      <c r="E158" s="2" t="s">
        <v>85</v>
      </c>
      <c r="F158" s="3" t="s">
        <v>55</v>
      </c>
      <c r="G158" s="2">
        <v>2021</v>
      </c>
      <c r="H158" s="3">
        <v>2021</v>
      </c>
      <c r="I158" s="2" t="s">
        <v>83</v>
      </c>
      <c r="J158" s="4">
        <v>44301</v>
      </c>
      <c r="K158" s="2" t="s">
        <v>350</v>
      </c>
      <c r="L158" s="2" t="s">
        <v>36</v>
      </c>
      <c r="M158" s="7" t="s">
        <v>5</v>
      </c>
      <c r="N158" s="5" t="s">
        <v>5</v>
      </c>
      <c r="O158" s="3" t="s">
        <v>554</v>
      </c>
    </row>
    <row r="159" spans="1:15" ht="29" x14ac:dyDescent="0.35">
      <c r="A159" s="2">
        <v>157</v>
      </c>
      <c r="B159" s="3" t="s">
        <v>555</v>
      </c>
      <c r="C159" s="2" t="s">
        <v>33</v>
      </c>
      <c r="D159" s="2" t="s">
        <v>27</v>
      </c>
      <c r="E159" s="2" t="s">
        <v>81</v>
      </c>
      <c r="F159" s="3" t="s">
        <v>42</v>
      </c>
      <c r="G159" s="2">
        <v>2022</v>
      </c>
      <c r="H159" s="3">
        <v>2022</v>
      </c>
      <c r="I159" s="2" t="s">
        <v>83</v>
      </c>
      <c r="J159" s="4">
        <v>45322</v>
      </c>
      <c r="K159" s="2" t="s">
        <v>79</v>
      </c>
      <c r="L159" s="2" t="s">
        <v>36</v>
      </c>
      <c r="M159" s="7" t="s">
        <v>5</v>
      </c>
      <c r="N159" s="5" t="s">
        <v>5</v>
      </c>
      <c r="O159" s="3" t="s">
        <v>556</v>
      </c>
    </row>
    <row r="160" spans="1:15" ht="29" x14ac:dyDescent="0.35">
      <c r="A160" s="2">
        <v>158</v>
      </c>
      <c r="B160" s="3" t="s">
        <v>557</v>
      </c>
      <c r="C160" s="2" t="s">
        <v>33</v>
      </c>
      <c r="D160" s="2" t="s">
        <v>101</v>
      </c>
      <c r="E160" s="2" t="s">
        <v>89</v>
      </c>
      <c r="F160" s="3" t="s">
        <v>55</v>
      </c>
      <c r="G160" s="2">
        <v>2012</v>
      </c>
      <c r="H160" s="3">
        <v>2012</v>
      </c>
      <c r="I160" s="2" t="s">
        <v>83</v>
      </c>
      <c r="J160" s="4">
        <v>43209</v>
      </c>
      <c r="K160" s="2" t="s">
        <v>558</v>
      </c>
      <c r="L160" s="2" t="s">
        <v>36</v>
      </c>
      <c r="M160" s="7" t="s">
        <v>5</v>
      </c>
      <c r="N160" s="5" t="s">
        <v>5</v>
      </c>
      <c r="O160" s="3" t="s">
        <v>559</v>
      </c>
    </row>
    <row r="161" spans="1:15" ht="29" x14ac:dyDescent="0.35">
      <c r="A161" s="2">
        <v>159</v>
      </c>
      <c r="B161" s="3" t="s">
        <v>560</v>
      </c>
      <c r="C161" s="2" t="s">
        <v>33</v>
      </c>
      <c r="D161" s="2" t="s">
        <v>29</v>
      </c>
      <c r="E161" s="2" t="s">
        <v>81</v>
      </c>
      <c r="F161" s="3" t="s">
        <v>55</v>
      </c>
      <c r="G161" s="2">
        <v>2024</v>
      </c>
      <c r="H161" s="3">
        <v>2024</v>
      </c>
      <c r="I161" s="2" t="s">
        <v>14</v>
      </c>
      <c r="J161" s="4">
        <v>45489</v>
      </c>
      <c r="K161" s="2" t="s">
        <v>561</v>
      </c>
      <c r="L161" s="2" t="s">
        <v>36</v>
      </c>
      <c r="M161" s="7" t="s">
        <v>5</v>
      </c>
      <c r="N161" s="5" t="s">
        <v>5</v>
      </c>
      <c r="O161" s="3" t="s">
        <v>562</v>
      </c>
    </row>
    <row r="162" spans="1:15" x14ac:dyDescent="0.35">
      <c r="A162" s="2">
        <v>160</v>
      </c>
      <c r="B162" s="3" t="s">
        <v>563</v>
      </c>
      <c r="C162" s="2" t="s">
        <v>33</v>
      </c>
      <c r="D162" s="2" t="s">
        <v>101</v>
      </c>
      <c r="E162" s="2" t="s">
        <v>89</v>
      </c>
      <c r="F162" s="3" t="s">
        <v>55</v>
      </c>
      <c r="G162" s="2">
        <v>2015</v>
      </c>
      <c r="H162" s="3">
        <v>2015</v>
      </c>
      <c r="I162" s="2" t="s">
        <v>17</v>
      </c>
      <c r="J162" s="4">
        <v>44243</v>
      </c>
      <c r="K162" s="2" t="s">
        <v>381</v>
      </c>
      <c r="L162" s="2" t="s">
        <v>36</v>
      </c>
      <c r="M162" s="7" t="s">
        <v>5</v>
      </c>
      <c r="N162" s="5" t="s">
        <v>5</v>
      </c>
      <c r="O162" s="3" t="s">
        <v>438</v>
      </c>
    </row>
    <row r="163" spans="1:15" x14ac:dyDescent="0.35">
      <c r="A163" s="2">
        <v>161</v>
      </c>
      <c r="B163" s="3" t="s">
        <v>564</v>
      </c>
      <c r="C163" s="2" t="s">
        <v>33</v>
      </c>
      <c r="D163" s="2" t="s">
        <v>31</v>
      </c>
      <c r="E163" s="2" t="s">
        <v>88</v>
      </c>
      <c r="F163" s="3" t="s">
        <v>55</v>
      </c>
      <c r="G163" s="2">
        <v>2015</v>
      </c>
      <c r="H163" s="3">
        <v>2015</v>
      </c>
      <c r="I163" s="2" t="s">
        <v>17</v>
      </c>
      <c r="J163" s="4">
        <v>42081</v>
      </c>
      <c r="L163" s="2" t="s">
        <v>37</v>
      </c>
      <c r="M163" s="7" t="s">
        <v>5</v>
      </c>
      <c r="N163" s="5" t="s">
        <v>5</v>
      </c>
      <c r="O163" s="3" t="s">
        <v>92</v>
      </c>
    </row>
    <row r="164" spans="1:15" ht="29" x14ac:dyDescent="0.35">
      <c r="A164" s="2">
        <v>162</v>
      </c>
      <c r="B164" s="3" t="s">
        <v>565</v>
      </c>
      <c r="C164" s="2" t="s">
        <v>33</v>
      </c>
      <c r="D164" s="2" t="s">
        <v>101</v>
      </c>
      <c r="E164" s="2" t="s">
        <v>89</v>
      </c>
      <c r="F164" s="3" t="s">
        <v>55</v>
      </c>
      <c r="G164" s="2">
        <v>2015</v>
      </c>
      <c r="H164" s="3">
        <v>2015</v>
      </c>
      <c r="I164" s="2" t="s">
        <v>17</v>
      </c>
      <c r="J164" s="4"/>
      <c r="K164" s="2" t="s">
        <v>566</v>
      </c>
      <c r="L164" s="2" t="s">
        <v>37</v>
      </c>
      <c r="M164" s="7" t="s">
        <v>5</v>
      </c>
      <c r="N164" s="5" t="s">
        <v>5</v>
      </c>
      <c r="O164" s="3" t="s">
        <v>567</v>
      </c>
    </row>
    <row r="165" spans="1:15" ht="29" x14ac:dyDescent="0.35">
      <c r="A165" s="2">
        <v>163</v>
      </c>
      <c r="B165" s="3" t="s">
        <v>568</v>
      </c>
      <c r="C165" s="2" t="s">
        <v>33</v>
      </c>
      <c r="D165" s="2" t="s">
        <v>118</v>
      </c>
      <c r="E165" s="2" t="s">
        <v>81</v>
      </c>
      <c r="F165" s="3" t="s">
        <v>81</v>
      </c>
      <c r="G165" s="2">
        <v>1970</v>
      </c>
      <c r="H165" s="3">
        <v>2022</v>
      </c>
      <c r="I165" s="2" t="s">
        <v>23</v>
      </c>
      <c r="J165" s="4">
        <v>45197</v>
      </c>
      <c r="K165" s="2" t="s">
        <v>569</v>
      </c>
      <c r="L165" s="2" t="s">
        <v>36</v>
      </c>
      <c r="M165" s="7" t="s">
        <v>5</v>
      </c>
      <c r="N165" s="5" t="s">
        <v>5</v>
      </c>
      <c r="O165" s="3" t="s">
        <v>570</v>
      </c>
    </row>
  </sheetData>
  <dataConsolidate/>
  <dataValidations count="2">
    <dataValidation type="list" allowBlank="1" showInputMessage="1" showErrorMessage="1" sqref="U36:U37" xr:uid="{E925A9FE-B881-429D-8703-BE687949A506}">
      <formula1>INDIRECT("TagList2")</formula1>
    </dataValidation>
    <dataValidation type="list" allowBlank="1" showInputMessage="1" showErrorMessage="1" sqref="AC36:AC37" xr:uid="{6AFF771F-52A5-4E75-A3FC-24251FCC770C}">
      <formula1>INDIRECT("TagList1")</formula1>
    </dataValidation>
  </dataValidations>
  <hyperlinks>
    <hyperlink ref="N2" r:id="rId1" display="REPD" xr:uid="{10BB8883-56F5-4E4A-88AC-56BCD1E436A2}"/>
    <hyperlink ref="N3" r:id="rId2" display="REPA" xr:uid="{7DABDCC4-ABCE-429D-B536-E1EB91081756}"/>
    <hyperlink ref="N5" r:id="rId3" location="full-publication-update-history" display="RRS" xr:uid="{B5F5C133-5A59-4876-A494-A228AC2F1716}"/>
    <hyperlink ref="N7" r:id="rId4" location="full-publication-update-history" display="RRS" xr:uid="{E33866BB-2913-4840-B48B-72FCBDB48038}"/>
    <hyperlink ref="N8" r:id="rId5" location="full-publication-update-history" display="RRS" xr:uid="{47BC4FD0-4238-4B37-B1A4-9EC0DEF4B83C}"/>
    <hyperlink ref="N9" r:id="rId6" location="full-publication-update-history" display="RRS" xr:uid="{C74F17D6-3E5B-4E1A-9954-15F19C4EE909}"/>
    <hyperlink ref="N10" r:id="rId7" display="GAS" xr:uid="{0CF2B817-68CB-4047-99D4-8ABE89AC999A}"/>
    <hyperlink ref="N12" r:id="rId8" display="RGC" xr:uid="{F98593E0-E656-4F0B-B7C8-6B019CE5FE3D}"/>
    <hyperlink ref="N13" r:id="rId9" display="DEC" xr:uid="{9B7BF9DF-CC7D-430B-86C7-07C883786D08}"/>
    <hyperlink ref="N14" r:id="rId10" xr:uid="{F37D7F1E-2BE5-4D4F-815D-844E866504E7}"/>
    <hyperlink ref="N15" r:id="rId11" xr:uid="{5C5E60C8-5B9B-4E5D-B9F2-2658F92AAC24}"/>
    <hyperlink ref="N16" r:id="rId12" xr:uid="{40B74B66-5F74-4443-B9E9-D59D12C7D3A9}"/>
    <hyperlink ref="N17" r:id="rId13" xr:uid="{C836FDF1-C0CD-4C57-B600-EC8E59ED8EEE}"/>
    <hyperlink ref="N11" r:id="rId14" xr:uid="{5A7224ED-7CFC-4B31-B3AB-CE3848BFCE18}"/>
    <hyperlink ref="N18" r:id="rId15" xr:uid="{1E3993D5-2EA3-4510-8116-53F2CA354BA1}"/>
    <hyperlink ref="N19" r:id="rId16" xr:uid="{1C6C36C9-269F-4916-B96A-95BA869DBF60}"/>
    <hyperlink ref="M19" r:id="rId17" xr:uid="{3E48A788-1DEC-4603-B53F-62AF4DA9246D}"/>
    <hyperlink ref="N20" r:id="rId18" xr:uid="{C55CA9D0-B082-469A-B45F-264DD2CF156A}"/>
    <hyperlink ref="M20" r:id="rId19" xr:uid="{6CEA3626-DA48-4742-B36A-27DF196246B3}"/>
    <hyperlink ref="N21" r:id="rId20" xr:uid="{D6A591FE-1789-4ABC-A26B-B2C43C1B4034}"/>
    <hyperlink ref="M21" r:id="rId21" xr:uid="{EAB76CA8-4715-4BB8-9419-EA56D000A41E}"/>
    <hyperlink ref="N22" r:id="rId22" xr:uid="{463D2675-3F53-4460-919D-E2B450CE8301}"/>
    <hyperlink ref="M22" r:id="rId23" xr:uid="{817F0A95-9BC1-4958-9AC9-787729BF8384}"/>
    <hyperlink ref="N23" r:id="rId24" xr:uid="{711DB5A4-6CD3-4CAD-B82D-864D26A854C5}"/>
    <hyperlink ref="M23" r:id="rId25" xr:uid="{61D1E5EA-9409-4AC2-80C9-4D5537047C75}"/>
    <hyperlink ref="M24" r:id="rId26" xr:uid="{599FB94C-6F02-4577-9DFF-737F91214403}"/>
    <hyperlink ref="N24" r:id="rId27" xr:uid="{31874507-DBB1-4361-A091-9B447A370DDF}"/>
    <hyperlink ref="N25" r:id="rId28" xr:uid="{B5DC99D4-3575-4453-8199-D53DFA114A2B}"/>
    <hyperlink ref="M25" r:id="rId29" xr:uid="{6C393EA8-2C60-43EE-A68D-4996A0C89B05}"/>
    <hyperlink ref="M26" r:id="rId30" xr:uid="{D91EEE59-7214-43FE-AFE5-41D1A85E7D55}"/>
    <hyperlink ref="N26" r:id="rId31" xr:uid="{5E583911-8F3D-4C71-9C2A-7FB0B2C13601}"/>
    <hyperlink ref="M27" r:id="rId32" xr:uid="{5E41AF43-2CD0-4EF6-8B34-8CD5BD6FBCDC}"/>
    <hyperlink ref="N27" r:id="rId33" xr:uid="{B5E44C60-2B1D-411F-AB2A-E2F43727AC9E}"/>
    <hyperlink ref="M29" r:id="rId34" xr:uid="{724A5DCE-88B2-4231-9445-BD7D077C29B2}"/>
    <hyperlink ref="N29" r:id="rId35" xr:uid="{EB82E206-437D-495C-9A85-454AF08A5907}"/>
    <hyperlink ref="M30" r:id="rId36" xr:uid="{EE28D8DD-8101-478A-90AA-2AC73108FC83}"/>
    <hyperlink ref="N30" r:id="rId37" xr:uid="{2DF5DB7B-F258-44D3-A571-F156CD13A4CB}"/>
    <hyperlink ref="M31" r:id="rId38" xr:uid="{61417590-AA52-45A6-AA16-87733405B13A}"/>
    <hyperlink ref="N31" r:id="rId39" xr:uid="{999715E8-64E6-439D-B1AC-A41819C3049B}"/>
    <hyperlink ref="M32" r:id="rId40" xr:uid="{5219021C-1144-4817-91F4-40F09F140D4E}"/>
    <hyperlink ref="N32" r:id="rId41" xr:uid="{3D4A3AC7-A9F5-46FB-B091-E3F1040731D2}"/>
    <hyperlink ref="M33" r:id="rId42" xr:uid="{2EFCC1EB-F0D2-4DC2-B3DA-58A40EAFD8FB}"/>
    <hyperlink ref="N33" r:id="rId43" xr:uid="{69544D30-1C05-4FE4-ABFB-2B5D4AC0BE5D}"/>
    <hyperlink ref="M34" r:id="rId44" xr:uid="{F64FDA34-4772-471F-8DE2-92795CCAD889}"/>
    <hyperlink ref="N34" r:id="rId45" xr:uid="{392FB43E-80A8-49C2-9B15-3E131757A806}"/>
    <hyperlink ref="M35" r:id="rId46" xr:uid="{9571E612-DDCA-4309-A755-E27E5B311EAF}"/>
    <hyperlink ref="N35" r:id="rId47" xr:uid="{AC8010D0-8FC9-4DA0-86F0-592CB9A3BC9A}"/>
    <hyperlink ref="M36" r:id="rId48" xr:uid="{2D1747B7-D8CE-429C-8407-51F30FD7E8D0}"/>
    <hyperlink ref="N36" r:id="rId49" xr:uid="{E88C56F8-8E84-4BD7-8FC0-F76F7E693793}"/>
    <hyperlink ref="M37" r:id="rId50" xr:uid="{3E16508B-2BF6-4809-BCC5-BF56D57E292E}"/>
    <hyperlink ref="N37" r:id="rId51" xr:uid="{7E349B58-F306-43F9-BFEB-D29D062271D5}"/>
    <hyperlink ref="M38" r:id="rId52" xr:uid="{7BD8E9AD-EC7E-444D-8373-E718B7608711}"/>
    <hyperlink ref="N38" r:id="rId53" xr:uid="{727CDDE8-AB87-41A3-BB49-590ED6E5ACBE}"/>
    <hyperlink ref="M39" r:id="rId54" xr:uid="{7D03A84C-67EB-4F18-911D-3055D205F4AC}"/>
    <hyperlink ref="N39" r:id="rId55" xr:uid="{00F1C605-9410-48BE-B652-BC9602C6C9EE}"/>
    <hyperlink ref="M40" r:id="rId56" xr:uid="{56DF9B20-3D55-4708-820F-109687EF5B9B}"/>
    <hyperlink ref="N40" r:id="rId57" xr:uid="{C62C5D44-B9FC-44A5-8CC4-C1EFAB6721C7}"/>
    <hyperlink ref="M41" r:id="rId58" xr:uid="{FEB5A5BA-0009-43DF-A4D2-35435F8862BA}"/>
    <hyperlink ref="N41" r:id="rId59" xr:uid="{92D8B4B1-C035-4484-999E-C7B9589B0A45}"/>
    <hyperlink ref="M42" r:id="rId60" xr:uid="{FFD52E8D-8192-47B9-B2CE-D24C0F61CF68}"/>
    <hyperlink ref="N42" r:id="rId61" xr:uid="{CC37CCD6-A3DB-4156-8808-85464E7B4CC5}"/>
    <hyperlink ref="M43" r:id="rId62" xr:uid="{0A83C55D-37F6-445B-B747-BD2F669FE826}"/>
    <hyperlink ref="N43" r:id="rId63" xr:uid="{C5C63656-2680-40FC-AE99-3D9E3C1A1AC7}"/>
    <hyperlink ref="M44" r:id="rId64" xr:uid="{1EF5CCEC-47DD-4B0C-9C1A-27F5B8EDD97A}"/>
    <hyperlink ref="N44" r:id="rId65" xr:uid="{8552EF22-6D56-4218-9755-A850D5664DB9}"/>
    <hyperlink ref="M45" r:id="rId66" xr:uid="{2B84E7F6-98F9-4233-B510-36D4EB0D0564}"/>
    <hyperlink ref="N45" r:id="rId67" xr:uid="{C630B937-07A8-4A62-900D-7E78D104D1D6}"/>
    <hyperlink ref="M46" r:id="rId68" xr:uid="{529B789E-0813-4325-B0AB-868880B3DB88}"/>
    <hyperlink ref="N46" r:id="rId69" xr:uid="{988C767C-E093-4550-A500-DF31298185FF}"/>
    <hyperlink ref="M55" r:id="rId70" xr:uid="{D3E7D204-349B-4764-A3B5-BB7F9EC88DEB}"/>
    <hyperlink ref="N55" r:id="rId71" xr:uid="{1C21FD0D-14BE-4574-B0F6-8556F6C74E1E}"/>
    <hyperlink ref="M56" r:id="rId72" xr:uid="{A8A4ED30-3650-4F87-8D25-29E6A9A79641}"/>
    <hyperlink ref="N56" r:id="rId73" xr:uid="{00684184-2E7C-45BF-AEDC-FB29C968CEE2}"/>
    <hyperlink ref="M57" r:id="rId74" xr:uid="{0680CC26-0C48-4418-BFBB-7B940D475BBE}"/>
    <hyperlink ref="N57" r:id="rId75" xr:uid="{D6681A1D-D99B-4BA0-BCB4-87CBE2C4B454}"/>
    <hyperlink ref="M58" r:id="rId76" xr:uid="{E22621A3-2F5D-4F5F-8342-12DF12B4FE67}"/>
    <hyperlink ref="N58" r:id="rId77" xr:uid="{E74E5D21-3A6E-4EE9-B01B-7FBFD8D21A59}"/>
    <hyperlink ref="M59" r:id="rId78" xr:uid="{61AE34A4-32A4-42E7-80BA-F1737FF985A4}"/>
    <hyperlink ref="N59" r:id="rId79" xr:uid="{DEC4DDDE-5915-43E2-8293-32D0543A3820}"/>
    <hyperlink ref="M60" r:id="rId80" xr:uid="{C22D691A-5950-4F71-A708-482C86A5247A}"/>
    <hyperlink ref="N60" r:id="rId81" xr:uid="{F42B229B-5906-4BAC-9F20-C7C1572F6FAB}"/>
    <hyperlink ref="N61" r:id="rId82" xr:uid="{470699EF-89A2-4E91-8547-00383D2B5DEA}"/>
    <hyperlink ref="M61" r:id="rId83" xr:uid="{EDD882BD-A8C8-435F-BF3C-ED8A29057ED6}"/>
    <hyperlink ref="M62" r:id="rId84" xr:uid="{D00407BE-FEDE-4286-B555-4C6B0EC1AF24}"/>
    <hyperlink ref="N63" r:id="rId85" xr:uid="{6793B5E7-314E-433F-9656-DA6B589FFF27}"/>
    <hyperlink ref="M63" r:id="rId86" xr:uid="{63676B65-EBC8-483F-8B8E-45EAFCC98492}"/>
    <hyperlink ref="M64" r:id="rId87" xr:uid="{4339D3C8-FD49-4FF0-8C0B-E41BBE01EE70}"/>
    <hyperlink ref="N65" r:id="rId88" xr:uid="{6FD34606-D64B-4491-99FB-764FEEF81052}"/>
    <hyperlink ref="M65" r:id="rId89" xr:uid="{76B15854-72EC-44CA-BFDE-F065C4BF94D6}"/>
    <hyperlink ref="M66" r:id="rId90" xr:uid="{55D14367-E693-4A88-AC6E-535BCB282195}"/>
    <hyperlink ref="N66" r:id="rId91" xr:uid="{E551FF6E-C368-432E-A90E-46A01D238EA4}"/>
    <hyperlink ref="M67" r:id="rId92" xr:uid="{E4FCEBE1-C476-4F8B-B225-F95A804D8CA1}"/>
    <hyperlink ref="N67" r:id="rId93" xr:uid="{E45842AA-7528-4ED2-B5B9-ED2A2E4A9175}"/>
    <hyperlink ref="M68" r:id="rId94" xr:uid="{B72F445B-7383-41D7-B422-BF6208C34425}"/>
    <hyperlink ref="N68" r:id="rId95" xr:uid="{FBF3CE96-9200-4184-ACFD-E7CC5933E8FC}"/>
    <hyperlink ref="M69" r:id="rId96" xr:uid="{672C5395-4846-4EE3-96D5-D657248BB9C4}"/>
    <hyperlink ref="N69" r:id="rId97" xr:uid="{DB4FFE4E-748F-4441-80C0-A266A62DF8E1}"/>
    <hyperlink ref="M70" r:id="rId98" xr:uid="{12EC2A65-1EE4-4426-B288-7158410141D6}"/>
    <hyperlink ref="N70" r:id="rId99" xr:uid="{936571B3-D984-4A15-AD89-05331583016E}"/>
    <hyperlink ref="N71" r:id="rId100" xr:uid="{7421C68B-1593-4EBC-9370-7101A3B34FC5}"/>
    <hyperlink ref="N72" r:id="rId101" xr:uid="{F4B87157-BCC6-4140-9A09-3F18EC540424}"/>
    <hyperlink ref="N73" r:id="rId102" xr:uid="{3A1B7D04-626A-4F9F-9304-E2A3717AB93D}"/>
    <hyperlink ref="M73" r:id="rId103" xr:uid="{0252759B-D575-4FDD-B5AC-4A41D85EE7BE}"/>
    <hyperlink ref="M74" r:id="rId104" xr:uid="{B15FF361-C403-444F-B646-74F985146B58}"/>
    <hyperlink ref="N74" r:id="rId105" xr:uid="{19008D06-9D2A-4EFC-8227-759DE7C6A490}"/>
    <hyperlink ref="N75" r:id="rId106" xr:uid="{5D7D2F18-C694-4866-899B-7BDAD9CC5EDC}"/>
    <hyperlink ref="M75" r:id="rId107" xr:uid="{DF15FA48-C7F9-4F57-9FAA-74CA174229FA}"/>
    <hyperlink ref="N76" r:id="rId108" xr:uid="{3AFF9F02-E328-467D-A5A6-0DB4E997FFE7}"/>
    <hyperlink ref="M76" r:id="rId109" xr:uid="{AC6558FE-7B56-4CAA-9C53-DA0A9B9DFB2C}"/>
    <hyperlink ref="N77" r:id="rId110" xr:uid="{60B6B89F-1A3D-4AE8-9E25-76316875B5BE}"/>
    <hyperlink ref="M77" r:id="rId111" xr:uid="{369E37F1-C91D-40FC-BF57-706F563C4AAD}"/>
    <hyperlink ref="M78" r:id="rId112" xr:uid="{F8BA2150-C6A4-4171-A917-B0F91D839C11}"/>
    <hyperlink ref="N78" r:id="rId113" xr:uid="{9E933FD2-FBF6-499A-91B0-75402B955E6B}"/>
    <hyperlink ref="M79" r:id="rId114" xr:uid="{85DD2E26-CE5F-4058-AA72-BD353C8AC243}"/>
    <hyperlink ref="N79" r:id="rId115" xr:uid="{90AFB5C7-0216-4B0D-9C00-35DA66885F17}"/>
    <hyperlink ref="M80" r:id="rId116" xr:uid="{BFF4BAAE-71ED-4B92-A1BD-96AF13949122}"/>
    <hyperlink ref="N80" r:id="rId117" xr:uid="{5AF61CB6-F128-471B-9BF2-3F6DC0616327}"/>
    <hyperlink ref="M81" r:id="rId118" xr:uid="{3CC3CFC2-82B0-418B-AF60-6C6298417606}"/>
    <hyperlink ref="N81" r:id="rId119" xr:uid="{96503E2A-AD35-4AFE-AF69-F6D68A7F71B3}"/>
    <hyperlink ref="M82" r:id="rId120" xr:uid="{F7A04D06-70B3-43D6-9B55-A2999C895BC3}"/>
    <hyperlink ref="N82" r:id="rId121" xr:uid="{90F790BB-A720-4015-BA74-0365563B4FDA}"/>
    <hyperlink ref="N83" r:id="rId122" xr:uid="{E9DE6CE4-0F38-4ABC-80D7-858FA431E5D6}"/>
    <hyperlink ref="M83" r:id="rId123" xr:uid="{7C2D4872-6BC6-4B41-809F-570D619BB3DE}"/>
    <hyperlink ref="M87" r:id="rId124" xr:uid="{7F719AD2-8B03-4DFB-9E72-63F82E609F1E}"/>
    <hyperlink ref="N87" r:id="rId125" xr:uid="{B3352E9F-4752-4787-94C7-2769C839A4DF}"/>
    <hyperlink ref="M88" r:id="rId126" xr:uid="{B592F7FF-CBF7-4625-95DF-8CDF2CC271F5}"/>
    <hyperlink ref="N88" r:id="rId127" xr:uid="{852B5601-8B35-4DFA-B8E7-9DEBC2965CE4}"/>
    <hyperlink ref="N89" r:id="rId128" xr:uid="{B7BA65BC-C3AC-4EFF-99CE-FEFF21E952D9}"/>
    <hyperlink ref="N90" r:id="rId129" xr:uid="{53803DD5-8A2F-4A6B-9248-DDF10B0D58E6}"/>
    <hyperlink ref="M90" r:id="rId130" xr:uid="{9427CE98-C055-494F-A93C-1F6E7B517E17}"/>
    <hyperlink ref="M91" r:id="rId131" xr:uid="{80E01077-0208-4B6E-BD4B-53195017C668}"/>
    <hyperlink ref="N91" r:id="rId132" xr:uid="{13B77D94-6073-457A-B8A6-B80387D79DC6}"/>
    <hyperlink ref="M92" r:id="rId133" xr:uid="{E6FCBAB8-F915-495C-BA02-69B5E3A24959}"/>
    <hyperlink ref="M93" r:id="rId134" xr:uid="{7A3584F6-91BD-49E0-A24E-0ABF628284F9}"/>
    <hyperlink ref="N92" r:id="rId135" xr:uid="{0C8385D9-22E1-4464-8175-E5BA08D4987F}"/>
    <hyperlink ref="N93" r:id="rId136" xr:uid="{2D85C68C-B22E-494F-81E1-1E421138138E}"/>
    <hyperlink ref="N94" r:id="rId137" xr:uid="{FB8EEDC9-BABC-4AC2-B9BA-A078EFAA0E07}"/>
    <hyperlink ref="M94" r:id="rId138" xr:uid="{2A8922D0-1F9E-4C06-AAA3-46DCD10DB4DE}"/>
    <hyperlink ref="N95" r:id="rId139" xr:uid="{D75F7E32-0359-4CA8-B235-A9028C56EE1F}"/>
    <hyperlink ref="M95" r:id="rId140" xr:uid="{DE2987B5-8DCA-4382-9A74-54787BD04A53}"/>
    <hyperlink ref="M96" r:id="rId141" location="current-onshore-data-updated-22-august-2016" xr:uid="{94693039-6790-4776-B28A-91709FB0CB8B}"/>
    <hyperlink ref="N96" r:id="rId142" xr:uid="{DCAD2B91-002C-42B5-B0F8-DBAE72A3005A}"/>
    <hyperlink ref="M97" r:id="rId143" xr:uid="{FB364AE2-C67C-4E9D-BC55-92B91612D179}"/>
    <hyperlink ref="N97" r:id="rId144" xr:uid="{AF93B293-7074-4684-ADE2-0BE8A687B099}"/>
    <hyperlink ref="M98" r:id="rId145" xr:uid="{8F8C83E6-3F53-4AA6-8ACE-FA2319A93AF5}"/>
    <hyperlink ref="N98" r:id="rId146" xr:uid="{3691CA18-7EFB-4BC6-B239-322FDDC23AC0}"/>
    <hyperlink ref="N99" r:id="rId147" xr:uid="{64C5E6A1-77C4-441E-96C0-E2A33AE269E0}"/>
    <hyperlink ref="M99" r:id="rId148" xr:uid="{0655AB07-3D54-4CC7-8F49-BB78C2F1F6B0}"/>
    <hyperlink ref="N100" r:id="rId149" xr:uid="{E0698AD7-F094-4CFD-B7D5-394F94CF9615}"/>
    <hyperlink ref="M100" r:id="rId150" xr:uid="{C239047A-E6A6-40E1-B812-9A2891466788}"/>
    <hyperlink ref="N101" r:id="rId151" xr:uid="{139C1F62-BCFD-4CBA-84C2-32ACAE9FB99E}"/>
    <hyperlink ref="M101" r:id="rId152" xr:uid="{9D9DC88D-E89D-4784-B28B-D36F374E3FDE}"/>
    <hyperlink ref="N102" r:id="rId153" xr:uid="{6D968718-6670-43AD-BDB6-FFDC14FA630E}"/>
    <hyperlink ref="N103" r:id="rId154" xr:uid="{ACB6E5E8-246C-40F8-A110-46F59E2A616A}"/>
    <hyperlink ref="M102" r:id="rId155" xr:uid="{F49D241F-7403-40E9-89D9-EB437A8BADAF}"/>
    <hyperlink ref="M103" r:id="rId156" xr:uid="{94983334-7499-4495-9AF7-387B01439832}"/>
    <hyperlink ref="M104" r:id="rId157" xr:uid="{0A060506-F2B9-47F4-9834-6F0DBB066ED0}"/>
    <hyperlink ref="N104" r:id="rId158" xr:uid="{0EE54DAD-192E-4A6C-9E3C-D16D3988E879}"/>
    <hyperlink ref="M105" r:id="rId159" xr:uid="{38C516FD-33A5-409A-9602-0CBBFAAD03EE}"/>
    <hyperlink ref="N105" r:id="rId160" xr:uid="{AC2BA3C7-8338-4934-8FC5-1DD9D0F40438}"/>
    <hyperlink ref="N106" r:id="rId161" xr:uid="{9D43BC32-88CA-4D7C-B324-9711FE806017}"/>
    <hyperlink ref="M106" r:id="rId162" xr:uid="{D43D00A7-C04B-4D06-92D8-9E54C302A6A6}"/>
    <hyperlink ref="M107" r:id="rId163" xr:uid="{0E478004-DAC9-4546-AD55-C403F8C9A150}"/>
    <hyperlink ref="N107" r:id="rId164" xr:uid="{EC6F5CF6-FD80-4BEE-8B93-D7A0F66CC831}"/>
    <hyperlink ref="N108" r:id="rId165" xr:uid="{A573E8A7-EABF-4149-ADF9-30648C3E6FAE}"/>
    <hyperlink ref="M108" r:id="rId166" xr:uid="{B405DDE9-01AF-4922-B0C3-08F41B8801F3}"/>
    <hyperlink ref="M109" r:id="rId167" xr:uid="{0BCDD8CB-D616-4697-9767-A47F446EEBB7}"/>
    <hyperlink ref="N109" r:id="rId168" xr:uid="{963D550E-156F-4FC4-9757-8FEAD0E3364C}"/>
    <hyperlink ref="N49" r:id="rId169" xr:uid="{77D90C53-A575-40EB-9493-ED7B07CA7F8D}"/>
    <hyperlink ref="N50" r:id="rId170" xr:uid="{DED06EB7-C918-4D76-9A9C-82C34B4903FC}"/>
    <hyperlink ref="N47" r:id="rId171" xr:uid="{C183B094-F61F-49A7-B2E7-D579F80BE5C4}"/>
    <hyperlink ref="N54" r:id="rId172" xr:uid="{19C88D79-6BB0-4CB4-83A9-10D36194656D}"/>
    <hyperlink ref="N110" r:id="rId173" xr:uid="{977DCE27-2216-42D5-8C6D-6FE030ED328F}"/>
    <hyperlink ref="M110" r:id="rId174" xr:uid="{E72E52B7-8686-4C3A-9180-3872EED35071}"/>
    <hyperlink ref="M111" r:id="rId175" xr:uid="{E319253E-823E-481C-8530-FDFF69AE79FD}"/>
    <hyperlink ref="N111" r:id="rId176" xr:uid="{C290B35F-6195-47F2-B589-C52D99799BB3}"/>
    <hyperlink ref="M112" r:id="rId177" xr:uid="{52CE715F-9F6A-4F2B-AD7E-C1A43B710B69}"/>
    <hyperlink ref="N112" r:id="rId178" xr:uid="{5E81CEB3-C290-4BD0-AD3B-4D54F109C9A2}"/>
    <hyperlink ref="M113" r:id="rId179" xr:uid="{99E8F72E-6E98-432D-88C5-562EA40F2892}"/>
    <hyperlink ref="N113" r:id="rId180" xr:uid="{69EE7919-84E5-4EF5-BD47-94646BA22BA4}"/>
    <hyperlink ref="M114" r:id="rId181" xr:uid="{3A93D62A-8952-41DA-AC4C-87B8415C6A38}"/>
    <hyperlink ref="N114" r:id="rId182" xr:uid="{A96FAFFA-E56E-47EA-9434-776EA0230313}"/>
    <hyperlink ref="M115" r:id="rId183" xr:uid="{DDCCDDA5-66D3-4F28-86B8-D4E48806C64F}"/>
    <hyperlink ref="N115" r:id="rId184" xr:uid="{90AFC1F7-342F-4F0C-BA74-1EA00BF9937C}"/>
    <hyperlink ref="M116" r:id="rId185" xr:uid="{7CEC1D6B-0794-4785-A1B8-C710096C2656}"/>
    <hyperlink ref="N116" r:id="rId186" xr:uid="{9A3A84F7-1160-4DE6-AF70-617644CE0771}"/>
    <hyperlink ref="M117" r:id="rId187" xr:uid="{2CDED37F-732D-45B0-9A98-3E3B746BD6D4}"/>
    <hyperlink ref="N117" r:id="rId188" xr:uid="{8DC0DB25-B656-4F99-BF93-0695621154B3}"/>
    <hyperlink ref="N129" r:id="rId189" xr:uid="{770B2836-5FB7-4800-8D05-E169B6683AAF}"/>
    <hyperlink ref="M129" r:id="rId190" xr:uid="{069207C6-E868-48DD-A3B5-51D581C70397}"/>
    <hyperlink ref="M130" r:id="rId191" xr:uid="{72845896-553C-4B83-932E-D0BB25F34645}"/>
    <hyperlink ref="N130" r:id="rId192" xr:uid="{8856F08A-68AC-4BFF-B4EF-4F8B3DECBB90}"/>
    <hyperlink ref="N131" r:id="rId193" xr:uid="{962544E8-DE23-4FA0-A74D-4761A524107E}"/>
    <hyperlink ref="M131" r:id="rId194" xr:uid="{2FDC8F3A-115F-457B-8E06-5957356126F9}"/>
    <hyperlink ref="N132" r:id="rId195" xr:uid="{67777FE3-A7E5-4406-A25E-B7BD9F184FF5}"/>
    <hyperlink ref="M132" r:id="rId196" xr:uid="{6C12963D-2FAE-471E-8DC8-539AE7FBD82F}"/>
    <hyperlink ref="M133" r:id="rId197" xr:uid="{C07F9AF0-B026-4F67-AB77-2D654F163D61}"/>
    <hyperlink ref="N133" r:id="rId198" xr:uid="{EFB4F2E4-E94F-46CE-9D40-0ABA607BDC60}"/>
    <hyperlink ref="M134" r:id="rId199" xr:uid="{80D76EB4-7226-4C8C-817D-833976862BD7}"/>
    <hyperlink ref="N134" r:id="rId200" xr:uid="{8E1FE4D8-B969-40E0-88A9-4BB9571EBDC6}"/>
    <hyperlink ref="M135" r:id="rId201" xr:uid="{F79F2E41-483D-4283-8164-5C1696BC7042}"/>
    <hyperlink ref="N135" r:id="rId202" xr:uid="{71A6FCC0-E952-4DCC-920A-6C4BF7BB3868}"/>
    <hyperlink ref="M136" r:id="rId203" xr:uid="{0D965929-5EBF-4736-B874-FAD2328D3653}"/>
    <hyperlink ref="N136" r:id="rId204" xr:uid="{F89D32F7-197D-4E2D-8071-CC2C9EB71F34}"/>
    <hyperlink ref="M137" r:id="rId205" xr:uid="{FFA2981F-C502-4077-8D0D-4E5BC427D693}"/>
    <hyperlink ref="N137" r:id="rId206" xr:uid="{9084B255-F249-4E59-B59A-80B9C0D0198A}"/>
    <hyperlink ref="M138" r:id="rId207" xr:uid="{86D6105C-EE16-48AD-A393-5888C85EE375}"/>
    <hyperlink ref="N138" r:id="rId208" xr:uid="{D66417A3-8C29-4F49-BD31-8AEEE60806B4}"/>
    <hyperlink ref="M139" r:id="rId209" xr:uid="{C3AF3F60-7128-4D11-8338-7FD50B3CEF4B}"/>
    <hyperlink ref="N139" r:id="rId210" xr:uid="{19B0835F-34A5-4791-B9CF-B22D0322A78D}"/>
    <hyperlink ref="M140" r:id="rId211" xr:uid="{DDA93E54-895A-4894-B7CC-100E0146E413}"/>
    <hyperlink ref="N140" r:id="rId212" xr:uid="{654227DC-45CA-4B58-8989-0C7AFE414060}"/>
    <hyperlink ref="M141" r:id="rId213" xr:uid="{B9D5C6F2-0AAB-4CA9-9C93-F57BBF6CCCD1}"/>
    <hyperlink ref="N141" r:id="rId214" xr:uid="{5BEDB9C2-8D43-475F-B117-FA4C6D9699A2}"/>
    <hyperlink ref="M142" r:id="rId215" xr:uid="{EA20747A-0A9A-46B3-9AFF-8C980D4A2EC8}"/>
    <hyperlink ref="N142" r:id="rId216" xr:uid="{F24955A8-59D3-40D9-96F4-639D3AFDB277}"/>
    <hyperlink ref="N144" r:id="rId217" xr:uid="{3A5D8DA9-AA57-491E-B1E0-1C3C71CBE2E7}"/>
    <hyperlink ref="M144" r:id="rId218" xr:uid="{1E06CAE2-BE08-4731-8A33-1361654DDB5B}"/>
    <hyperlink ref="M145" r:id="rId219" xr:uid="{D43A48B3-9EA2-456F-A187-8930D121DBA7}"/>
    <hyperlink ref="N145" r:id="rId220" xr:uid="{92CCDFBB-4D82-4A9D-ADD2-73C52E763BF0}"/>
    <hyperlink ref="M146" r:id="rId221" xr:uid="{9B924F88-970A-4B4A-8B80-59EC28312254}"/>
    <hyperlink ref="M147" r:id="rId222" xr:uid="{F44F2C36-E836-4513-BC84-BB7B156B75AB}"/>
    <hyperlink ref="N147" r:id="rId223" xr:uid="{BB178DDC-C340-452F-91F0-8BEBE776D5BA}"/>
    <hyperlink ref="M148" r:id="rId224" xr:uid="{B07D3CCF-DBEC-47A0-BC25-50784C74C80F}"/>
    <hyperlink ref="N148" r:id="rId225" xr:uid="{9B91FB49-23B4-40B5-9BF6-6282ABCED220}"/>
    <hyperlink ref="N149" r:id="rId226" xr:uid="{747D09F5-8310-4292-B635-894C44F84C04}"/>
    <hyperlink ref="M149" r:id="rId227" xr:uid="{6E1237C2-9B86-45AB-93B2-9F8996644981}"/>
    <hyperlink ref="M143" r:id="rId228" xr:uid="{CDCC7B87-14E0-49F7-9447-64C5CD5278FB}"/>
    <hyperlink ref="N143" r:id="rId229" xr:uid="{09CE6527-961B-477F-9EF6-17F6631AA426}"/>
    <hyperlink ref="M150" r:id="rId230" xr:uid="{61E2BE34-B78D-4BFE-8921-FE611647983F}"/>
    <hyperlink ref="N150" r:id="rId231" xr:uid="{F7AC6161-B081-4D79-AE51-643805DCD4DA}"/>
    <hyperlink ref="M151" r:id="rId232" xr:uid="{A8951187-2D10-4F0B-814F-E65C1ADE3E36}"/>
    <hyperlink ref="N151" r:id="rId233" xr:uid="{0F3AA847-93FE-4C72-9C2A-9C34CC1D136F}"/>
    <hyperlink ref="M152" r:id="rId234" xr:uid="{E505AEAD-4369-47FE-994A-C5E4E96ACFBC}"/>
    <hyperlink ref="N152" r:id="rId235" xr:uid="{58FFAD71-4FD2-4EDC-816C-ECE7219DE378}"/>
    <hyperlink ref="M153" r:id="rId236" xr:uid="{71F36965-3AA0-4A0C-8E23-2DDB0D679D1A}"/>
    <hyperlink ref="N153" r:id="rId237" xr:uid="{3E4AF331-19F4-437B-89E2-5959D06937D4}"/>
    <hyperlink ref="M154" r:id="rId238" xr:uid="{DC12F2CD-F6AD-4E18-88E0-CA878CA92253}"/>
    <hyperlink ref="N154" r:id="rId239" xr:uid="{8C5CFB59-FFDE-4058-8557-86CD826CC164}"/>
    <hyperlink ref="M155" r:id="rId240" xr:uid="{446A1A14-BA9F-4E11-B076-07BD34BDC935}"/>
    <hyperlink ref="N155" r:id="rId241" xr:uid="{C64D3F08-12B8-4B42-A610-72480932959B}"/>
    <hyperlink ref="M156" r:id="rId242" xr:uid="{7DB48E09-CA5B-4809-BCA2-07EB55DB743B}"/>
    <hyperlink ref="N156" r:id="rId243" xr:uid="{0231A309-46F1-4B03-99DA-7E262BA4AA97}"/>
    <hyperlink ref="M157" r:id="rId244" xr:uid="{4066ED56-884E-4C94-A2CB-42FAD6A017EA}"/>
    <hyperlink ref="N157" r:id="rId245" xr:uid="{21B4A613-CE2B-4D7B-8F67-DE744280EEC1}"/>
    <hyperlink ref="N158" r:id="rId246" xr:uid="{FBAE4B02-9416-4F54-A00F-416144891064}"/>
    <hyperlink ref="M158" r:id="rId247" xr:uid="{327BE226-6742-4542-865A-757BA3920EAC}"/>
    <hyperlink ref="M159" r:id="rId248" xr:uid="{3ADAA7BD-03A1-437C-B20D-5598096F5A25}"/>
    <hyperlink ref="N159" r:id="rId249" xr:uid="{1E5F0348-C908-488B-A4ED-5D7AACFF0EBA}"/>
    <hyperlink ref="M160" r:id="rId250" xr:uid="{4C3FAD39-FC5F-4323-A1AF-84AD384512E4}"/>
    <hyperlink ref="N160" r:id="rId251" location="download" xr:uid="{3662AEA4-6D72-4C4E-AF4D-6B67CA2B4B3D}"/>
    <hyperlink ref="M161" r:id="rId252" xr:uid="{72797207-62F4-4D9D-A1FE-7687AF2938A3}"/>
    <hyperlink ref="N161" r:id="rId253" location="item185538" xr:uid="{FFCE058D-6F28-4772-848A-E949945A8A11}"/>
    <hyperlink ref="M162" r:id="rId254" xr:uid="{B6099AE1-BC86-4374-B879-2A814406863A}"/>
    <hyperlink ref="N162" r:id="rId255" xr:uid="{A3648D1B-F382-4911-96CF-E56DFD3E003F}"/>
    <hyperlink ref="M163" r:id="rId256" xr:uid="{9CFD0D41-0341-421F-BF19-065BB5CE4E3A}"/>
    <hyperlink ref="N163" r:id="rId257" xr:uid="{F97E2BA0-8DF3-46D0-8992-4AAED27B8668}"/>
    <hyperlink ref="N164" r:id="rId258" xr:uid="{B5EC0B61-E03D-4199-9713-6007328F4914}"/>
    <hyperlink ref="M164" r:id="rId259" xr:uid="{2F30C276-12A9-4089-88D7-73D900AB38B5}"/>
    <hyperlink ref="M165" r:id="rId260" xr:uid="{2C8AE6BB-DA84-41A2-A954-F8B5253C4FD5}"/>
    <hyperlink ref="N165" r:id="rId261" xr:uid="{5E1047F5-CEAA-4456-80FA-138EAD797E4F}"/>
  </hyperlinks>
  <pageMargins left="0.7" right="0.7" top="0.75" bottom="0.75" header="0.3" footer="0.3"/>
  <pageSetup paperSize="9" orientation="portrait" r:id="rId262"/>
  <tableParts count="1">
    <tablePart r:id="rId26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10C3D-0448-44A3-B65D-E0FC22B634F2}">
  <sheetPr codeName="Sheet8"/>
  <dimension ref="A1:B17"/>
  <sheetViews>
    <sheetView workbookViewId="0">
      <selection activeCell="I4" sqref="I4"/>
    </sheetView>
  </sheetViews>
  <sheetFormatPr defaultRowHeight="14.5" x14ac:dyDescent="0.35"/>
  <cols>
    <col min="1" max="1" width="9.36328125" bestFit="1" customWidth="1"/>
    <col min="2" max="2" width="44.81640625" style="69" customWidth="1"/>
  </cols>
  <sheetData>
    <row r="1" spans="1:2" s="24" customFormat="1" ht="29" x14ac:dyDescent="0.35">
      <c r="A1" s="78" t="s">
        <v>531</v>
      </c>
      <c r="B1" s="79" t="s">
        <v>530</v>
      </c>
    </row>
    <row r="2" spans="1:2" ht="29" x14ac:dyDescent="0.35">
      <c r="A2" s="76" t="s">
        <v>486</v>
      </c>
      <c r="B2" s="77" t="s">
        <v>532</v>
      </c>
    </row>
    <row r="3" spans="1:2" ht="29" x14ac:dyDescent="0.35">
      <c r="A3" s="76" t="s">
        <v>499</v>
      </c>
      <c r="B3" s="77" t="s">
        <v>533</v>
      </c>
    </row>
    <row r="4" spans="1:2" ht="72.5" x14ac:dyDescent="0.35">
      <c r="A4" s="76" t="s">
        <v>32</v>
      </c>
      <c r="B4" s="77" t="s">
        <v>541</v>
      </c>
    </row>
    <row r="5" spans="1:2" ht="43.5" x14ac:dyDescent="0.35">
      <c r="A5" s="76" t="s">
        <v>2</v>
      </c>
      <c r="B5" s="77" t="s">
        <v>547</v>
      </c>
    </row>
    <row r="6" spans="1:2" ht="29" x14ac:dyDescent="0.35">
      <c r="A6" s="76" t="s">
        <v>3</v>
      </c>
      <c r="B6" s="77" t="s">
        <v>539</v>
      </c>
    </row>
    <row r="7" spans="1:2" ht="87" x14ac:dyDescent="0.35">
      <c r="A7" s="76" t="s">
        <v>368</v>
      </c>
      <c r="B7" s="77" t="s">
        <v>549</v>
      </c>
    </row>
    <row r="8" spans="1:2" ht="43.5" x14ac:dyDescent="0.35">
      <c r="A8" s="76" t="s">
        <v>366</v>
      </c>
      <c r="B8" s="77" t="s">
        <v>537</v>
      </c>
    </row>
    <row r="9" spans="1:2" ht="43.5" x14ac:dyDescent="0.35">
      <c r="A9" s="76" t="s">
        <v>365</v>
      </c>
      <c r="B9" s="77" t="s">
        <v>546</v>
      </c>
    </row>
    <row r="10" spans="1:2" ht="58" x14ac:dyDescent="0.35">
      <c r="A10" s="76" t="s">
        <v>7</v>
      </c>
      <c r="B10" s="77" t="s">
        <v>534</v>
      </c>
    </row>
    <row r="11" spans="1:2" ht="43.5" x14ac:dyDescent="0.35">
      <c r="A11" s="76" t="s">
        <v>363</v>
      </c>
      <c r="B11" s="77" t="s">
        <v>535</v>
      </c>
    </row>
    <row r="12" spans="1:2" ht="29" x14ac:dyDescent="0.35">
      <c r="A12" s="76" t="s">
        <v>0</v>
      </c>
      <c r="B12" s="77" t="s">
        <v>536</v>
      </c>
    </row>
    <row r="13" spans="1:2" ht="43.5" x14ac:dyDescent="0.35">
      <c r="A13" s="76" t="s">
        <v>1</v>
      </c>
      <c r="B13" s="77" t="s">
        <v>538</v>
      </c>
    </row>
    <row r="14" spans="1:2" ht="29" x14ac:dyDescent="0.35">
      <c r="A14" s="76" t="s">
        <v>4</v>
      </c>
      <c r="B14" s="77" t="s">
        <v>545</v>
      </c>
    </row>
    <row r="15" spans="1:2" ht="43.5" x14ac:dyDescent="0.35">
      <c r="A15" s="76" t="s">
        <v>77</v>
      </c>
      <c r="B15" s="77" t="s">
        <v>548</v>
      </c>
    </row>
    <row r="16" spans="1:2" x14ac:dyDescent="0.35">
      <c r="A16" s="76" t="s">
        <v>369</v>
      </c>
      <c r="B16" s="77" t="s">
        <v>540</v>
      </c>
    </row>
    <row r="17" spans="2:2" x14ac:dyDescent="0.35">
      <c r="B17"/>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xr:uid="{03980C0D-6F28-46CF-ADE1-230647B46057}">
          <x14:formula1>
            <xm:f>'Background Lists'!$A$35:$A$51</xm:f>
          </x14:formula1>
          <xm:sqref>A7</xm:sqref>
        </x14:dataValidation>
        <x14:dataValidation type="list" allowBlank="1" showInputMessage="1" xr:uid="{B568537C-E7E4-4B3C-B38E-BC204767F629}">
          <x14:formula1>
            <xm:f>'Background Lists'!$D$15:$D$41</xm:f>
          </x14:formula1>
          <xm:sqref>A16</xm:sqref>
        </x14:dataValidation>
        <x14:dataValidation type="list" allowBlank="1" showInputMessage="1" showErrorMessage="1" xr:uid="{8271174B-1800-4401-A8F1-45FEB7DA23DB}">
          <x14:formula1>
            <xm:f>'Background Lists'!$D$2:$D$12</xm:f>
          </x14:formula1>
          <xm:sqref>A5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1E1B5-D74D-4490-8BF3-E2B4A4487261}">
  <sheetPr codeName="Sheet4"/>
  <dimension ref="A1:L20"/>
  <sheetViews>
    <sheetView showGridLines="0" workbookViewId="0">
      <selection activeCell="S14" sqref="S14"/>
    </sheetView>
  </sheetViews>
  <sheetFormatPr defaultRowHeight="14.5" x14ac:dyDescent="0.35"/>
  <cols>
    <col min="1" max="1" width="26.453125" customWidth="1"/>
    <col min="2" max="2" width="13.26953125" customWidth="1"/>
    <col min="3" max="3" width="13.1796875" customWidth="1"/>
    <col min="4" max="4" width="14.7265625" customWidth="1"/>
    <col min="5" max="5" width="14.54296875" customWidth="1"/>
    <col min="6" max="6" width="20.7265625" customWidth="1"/>
    <col min="8" max="8" width="14.26953125" customWidth="1"/>
  </cols>
  <sheetData>
    <row r="1" spans="1:12" ht="37" x14ac:dyDescent="0.85">
      <c r="A1" s="123" t="s">
        <v>326</v>
      </c>
      <c r="B1" s="123"/>
      <c r="C1" s="123"/>
      <c r="D1" s="123"/>
      <c r="E1" s="123"/>
      <c r="F1" s="123"/>
      <c r="G1" s="123"/>
      <c r="H1" s="123"/>
    </row>
    <row r="3" spans="1:12" ht="15" customHeight="1" x14ac:dyDescent="0.35">
      <c r="B3" s="124" t="s">
        <v>328</v>
      </c>
      <c r="C3" s="124"/>
      <c r="D3" s="124"/>
      <c r="F3" s="124" t="s">
        <v>327</v>
      </c>
      <c r="G3" s="124"/>
      <c r="H3" s="124"/>
    </row>
    <row r="4" spans="1:12" ht="15" customHeight="1" x14ac:dyDescent="0.35">
      <c r="B4" s="124"/>
      <c r="C4" s="124"/>
      <c r="D4" s="124"/>
      <c r="F4" s="124"/>
      <c r="G4" s="124"/>
      <c r="H4" s="124"/>
    </row>
    <row r="5" spans="1:12" x14ac:dyDescent="0.35">
      <c r="B5" s="124"/>
      <c r="C5" s="124"/>
      <c r="D5" s="124"/>
      <c r="F5" s="124"/>
      <c r="G5" s="124"/>
      <c r="H5" s="124"/>
    </row>
    <row r="6" spans="1:12" ht="15" customHeight="1" x14ac:dyDescent="0.35">
      <c r="B6" s="125">
        <f>COUNTA(#REF!)</f>
        <v>1</v>
      </c>
      <c r="C6" s="126"/>
      <c r="D6" s="126"/>
      <c r="F6" s="125" t="e">
        <f>AVERAGE(#REF!)</f>
        <v>#REF!</v>
      </c>
      <c r="G6" s="126"/>
      <c r="H6" s="126"/>
    </row>
    <row r="7" spans="1:12" ht="15" customHeight="1" x14ac:dyDescent="0.35">
      <c r="B7" s="126"/>
      <c r="C7" s="126"/>
      <c r="D7" s="126"/>
      <c r="F7" s="126"/>
      <c r="G7" s="126"/>
      <c r="H7" s="126"/>
    </row>
    <row r="8" spans="1:12" ht="15" customHeight="1" x14ac:dyDescent="0.35">
      <c r="B8" s="126"/>
      <c r="C8" s="126"/>
      <c r="D8" s="126"/>
      <c r="F8" s="126"/>
      <c r="G8" s="126"/>
      <c r="H8" s="126"/>
    </row>
    <row r="10" spans="1:12" x14ac:dyDescent="0.35">
      <c r="A10" s="127" t="s">
        <v>229</v>
      </c>
      <c r="B10" s="128" t="s">
        <v>232</v>
      </c>
      <c r="C10" s="128"/>
      <c r="D10" s="128"/>
      <c r="E10" s="128"/>
      <c r="F10" s="128"/>
      <c r="G10" s="129" t="s">
        <v>233</v>
      </c>
      <c r="H10" s="130" t="s">
        <v>266</v>
      </c>
      <c r="K10" s="131" t="s">
        <v>318</v>
      </c>
      <c r="L10" s="131"/>
    </row>
    <row r="11" spans="1:12" x14ac:dyDescent="0.35">
      <c r="A11" s="127"/>
      <c r="B11" s="27" t="s">
        <v>261</v>
      </c>
      <c r="C11" s="27" t="s">
        <v>262</v>
      </c>
      <c r="D11" s="27" t="s">
        <v>263</v>
      </c>
      <c r="E11" s="27" t="s">
        <v>264</v>
      </c>
      <c r="F11" s="27" t="s">
        <v>265</v>
      </c>
      <c r="G11" s="129"/>
      <c r="H11" s="130"/>
      <c r="K11" s="131"/>
      <c r="L11" s="131"/>
    </row>
    <row r="12" spans="1:12" ht="58" x14ac:dyDescent="0.35">
      <c r="A12" s="28" t="s">
        <v>220</v>
      </c>
      <c r="B12" s="29" t="s">
        <v>244</v>
      </c>
      <c r="C12" s="29" t="s">
        <v>245</v>
      </c>
      <c r="D12" s="29" t="s">
        <v>246</v>
      </c>
      <c r="E12" s="29" t="s">
        <v>247</v>
      </c>
      <c r="F12" s="29" t="s">
        <v>248</v>
      </c>
      <c r="G12" s="31">
        <v>0.15</v>
      </c>
      <c r="H12" s="33" t="s">
        <v>293</v>
      </c>
      <c r="K12" s="32" t="s">
        <v>303</v>
      </c>
      <c r="L12" s="32" t="s">
        <v>304</v>
      </c>
    </row>
    <row r="13" spans="1:12" ht="58" x14ac:dyDescent="0.35">
      <c r="A13" s="28" t="s">
        <v>221</v>
      </c>
      <c r="B13" s="29" t="s">
        <v>249</v>
      </c>
      <c r="C13" s="29" t="s">
        <v>250</v>
      </c>
      <c r="D13" s="29" t="s">
        <v>251</v>
      </c>
      <c r="E13" s="29" t="s">
        <v>252</v>
      </c>
      <c r="F13" s="29" t="s">
        <v>253</v>
      </c>
      <c r="G13" s="31">
        <v>0.15</v>
      </c>
      <c r="H13" s="33" t="s">
        <v>294</v>
      </c>
      <c r="K13" s="33" t="s">
        <v>308</v>
      </c>
      <c r="L13" s="33" t="s">
        <v>309</v>
      </c>
    </row>
    <row r="14" spans="1:12" ht="72.5" x14ac:dyDescent="0.35">
      <c r="A14" s="28" t="s">
        <v>222</v>
      </c>
      <c r="B14" s="29" t="s">
        <v>254</v>
      </c>
      <c r="C14" s="29" t="s">
        <v>255</v>
      </c>
      <c r="D14" s="29" t="s">
        <v>256</v>
      </c>
      <c r="E14" s="29" t="s">
        <v>257</v>
      </c>
      <c r="F14" s="29" t="s">
        <v>258</v>
      </c>
      <c r="G14" s="31">
        <v>0.1</v>
      </c>
      <c r="H14" s="33" t="s">
        <v>295</v>
      </c>
      <c r="K14" s="33" t="s">
        <v>307</v>
      </c>
      <c r="L14" s="33" t="s">
        <v>310</v>
      </c>
    </row>
    <row r="15" spans="1:12" ht="87" x14ac:dyDescent="0.35">
      <c r="A15" s="28" t="s">
        <v>223</v>
      </c>
      <c r="B15" s="29" t="s">
        <v>259</v>
      </c>
      <c r="C15" s="29" t="s">
        <v>231</v>
      </c>
      <c r="D15" s="29" t="s">
        <v>260</v>
      </c>
      <c r="E15" s="29" t="s">
        <v>230</v>
      </c>
      <c r="F15" s="29" t="s">
        <v>267</v>
      </c>
      <c r="G15" s="31">
        <v>0.1</v>
      </c>
      <c r="H15" s="33" t="s">
        <v>296</v>
      </c>
      <c r="K15" s="33" t="s">
        <v>305</v>
      </c>
      <c r="L15" s="33" t="s">
        <v>311</v>
      </c>
    </row>
    <row r="16" spans="1:12" ht="72.5" x14ac:dyDescent="0.35">
      <c r="A16" s="28" t="s">
        <v>224</v>
      </c>
      <c r="B16" s="29" t="s">
        <v>268</v>
      </c>
      <c r="C16" s="29" t="s">
        <v>269</v>
      </c>
      <c r="D16" s="29" t="s">
        <v>270</v>
      </c>
      <c r="E16" s="29" t="s">
        <v>271</v>
      </c>
      <c r="F16" s="29" t="s">
        <v>272</v>
      </c>
      <c r="G16" s="31">
        <v>0.05</v>
      </c>
      <c r="H16" s="33" t="s">
        <v>297</v>
      </c>
      <c r="K16" s="33" t="s">
        <v>306</v>
      </c>
      <c r="L16" s="33" t="s">
        <v>312</v>
      </c>
    </row>
    <row r="17" spans="1:8" ht="58" x14ac:dyDescent="0.35">
      <c r="A17" s="28" t="s">
        <v>225</v>
      </c>
      <c r="B17" s="29" t="s">
        <v>273</v>
      </c>
      <c r="C17" s="29" t="s">
        <v>274</v>
      </c>
      <c r="D17" s="29" t="s">
        <v>275</v>
      </c>
      <c r="E17" s="29" t="s">
        <v>276</v>
      </c>
      <c r="F17" s="29" t="s">
        <v>277</v>
      </c>
      <c r="G17" s="31">
        <v>0.1</v>
      </c>
      <c r="H17" s="33" t="s">
        <v>298</v>
      </c>
    </row>
    <row r="18" spans="1:8" ht="58" x14ac:dyDescent="0.35">
      <c r="A18" s="28" t="s">
        <v>226</v>
      </c>
      <c r="B18" s="29" t="s">
        <v>278</v>
      </c>
      <c r="C18" s="29" t="s">
        <v>279</v>
      </c>
      <c r="D18" s="29" t="s">
        <v>280</v>
      </c>
      <c r="E18" s="29" t="s">
        <v>281</v>
      </c>
      <c r="F18" s="29" t="s">
        <v>282</v>
      </c>
      <c r="G18" s="31">
        <v>0.1</v>
      </c>
      <c r="H18" s="33" t="s">
        <v>299</v>
      </c>
    </row>
    <row r="19" spans="1:8" ht="58" x14ac:dyDescent="0.35">
      <c r="A19" s="28" t="s">
        <v>227</v>
      </c>
      <c r="B19" s="29" t="s">
        <v>283</v>
      </c>
      <c r="C19" s="29" t="s">
        <v>284</v>
      </c>
      <c r="D19" s="29" t="s">
        <v>285</v>
      </c>
      <c r="E19" s="29" t="s">
        <v>286</v>
      </c>
      <c r="F19" s="29" t="s">
        <v>287</v>
      </c>
      <c r="G19" s="31">
        <v>0.1</v>
      </c>
      <c r="H19" s="33" t="s">
        <v>300</v>
      </c>
    </row>
    <row r="20" spans="1:8" ht="87" x14ac:dyDescent="0.35">
      <c r="A20" s="28" t="s">
        <v>228</v>
      </c>
      <c r="B20" s="29" t="s">
        <v>288</v>
      </c>
      <c r="C20" s="29" t="s">
        <v>289</v>
      </c>
      <c r="D20" s="29" t="s">
        <v>290</v>
      </c>
      <c r="E20" s="29" t="s">
        <v>291</v>
      </c>
      <c r="F20" s="29" t="s">
        <v>292</v>
      </c>
      <c r="G20" s="31">
        <v>0.15</v>
      </c>
      <c r="H20" s="33" t="s">
        <v>301</v>
      </c>
    </row>
  </sheetData>
  <mergeCells count="10">
    <mergeCell ref="A10:A11"/>
    <mergeCell ref="B10:F10"/>
    <mergeCell ref="G10:G11"/>
    <mergeCell ref="H10:H11"/>
    <mergeCell ref="K10:L11"/>
    <mergeCell ref="A1:H1"/>
    <mergeCell ref="F3:H5"/>
    <mergeCell ref="F6:H8"/>
    <mergeCell ref="B3:D5"/>
    <mergeCell ref="B6:D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38225-97F5-43EA-B7E0-88420850CDE0}">
  <sheetPr codeName="Sheet5"/>
  <dimension ref="A1:E12"/>
  <sheetViews>
    <sheetView workbookViewId="0">
      <selection activeCell="E12" sqref="E12"/>
    </sheetView>
  </sheetViews>
  <sheetFormatPr defaultRowHeight="14.5" x14ac:dyDescent="0.35"/>
  <cols>
    <col min="1" max="1" width="14.81640625" customWidth="1"/>
  </cols>
  <sheetData>
    <row r="1" spans="1:5" x14ac:dyDescent="0.35">
      <c r="A1" t="s">
        <v>302</v>
      </c>
    </row>
    <row r="2" spans="1:5" x14ac:dyDescent="0.35">
      <c r="A2" t="s">
        <v>313</v>
      </c>
    </row>
    <row r="3" spans="1:5" x14ac:dyDescent="0.35">
      <c r="A3" s="34" t="s">
        <v>229</v>
      </c>
      <c r="B3" s="34" t="s">
        <v>314</v>
      </c>
      <c r="C3" s="34" t="s">
        <v>232</v>
      </c>
    </row>
    <row r="4" spans="1:5" x14ac:dyDescent="0.35">
      <c r="A4" s="33" t="s">
        <v>315</v>
      </c>
      <c r="B4" s="32">
        <v>5</v>
      </c>
      <c r="C4" s="35">
        <f>B4*'Data Quality Dashboard'!G12</f>
        <v>0.75</v>
      </c>
    </row>
    <row r="5" spans="1:5" x14ac:dyDescent="0.35">
      <c r="A5" s="33" t="s">
        <v>316</v>
      </c>
      <c r="B5" s="32">
        <v>4</v>
      </c>
      <c r="C5" s="35">
        <f>B5*'Data Quality Dashboard'!G13</f>
        <v>0.6</v>
      </c>
    </row>
    <row r="6" spans="1:5" x14ac:dyDescent="0.35">
      <c r="A6" s="33" t="s">
        <v>317</v>
      </c>
      <c r="B6" s="32">
        <v>5</v>
      </c>
      <c r="C6" s="35">
        <f>B6*'Data Quality Dashboard'!G14</f>
        <v>0.5</v>
      </c>
      <c r="D6" s="132" t="s">
        <v>318</v>
      </c>
      <c r="E6" s="133"/>
    </row>
    <row r="7" spans="1:5" x14ac:dyDescent="0.35">
      <c r="A7" s="33" t="s">
        <v>319</v>
      </c>
      <c r="B7" s="32">
        <v>5</v>
      </c>
      <c r="C7" s="35">
        <f>B7*'Data Quality Dashboard'!G15</f>
        <v>0.5</v>
      </c>
      <c r="D7" s="132">
        <f>SUM(C4:C12)</f>
        <v>4.8000000000000007</v>
      </c>
      <c r="E7" s="133"/>
    </row>
    <row r="8" spans="1:5" x14ac:dyDescent="0.35">
      <c r="A8" s="33" t="s">
        <v>320</v>
      </c>
      <c r="B8" s="32">
        <v>4</v>
      </c>
      <c r="C8" s="35">
        <f>B8*'Data Quality Dashboard'!G16</f>
        <v>0.2</v>
      </c>
    </row>
    <row r="9" spans="1:5" x14ac:dyDescent="0.35">
      <c r="A9" s="33" t="s">
        <v>321</v>
      </c>
      <c r="B9" s="32">
        <v>5</v>
      </c>
      <c r="C9" s="35">
        <f>B9*'Data Quality Dashboard'!G17</f>
        <v>0.5</v>
      </c>
    </row>
    <row r="10" spans="1:5" x14ac:dyDescent="0.35">
      <c r="A10" s="33" t="s">
        <v>322</v>
      </c>
      <c r="B10" s="32">
        <v>5</v>
      </c>
      <c r="C10" s="35">
        <f>B10*'Data Quality Dashboard'!G18</f>
        <v>0.5</v>
      </c>
    </row>
    <row r="11" spans="1:5" x14ac:dyDescent="0.35">
      <c r="A11" s="33" t="s">
        <v>323</v>
      </c>
      <c r="B11" s="32">
        <v>5</v>
      </c>
      <c r="C11" s="35">
        <f>B11*'Data Quality Dashboard'!G19</f>
        <v>0.5</v>
      </c>
    </row>
    <row r="12" spans="1:5" x14ac:dyDescent="0.35">
      <c r="A12" s="33" t="s">
        <v>324</v>
      </c>
      <c r="B12" s="32">
        <v>5</v>
      </c>
      <c r="C12" s="35">
        <f>B12*'Data Quality Dashboard'!G20</f>
        <v>0.75</v>
      </c>
    </row>
  </sheetData>
  <mergeCells count="2">
    <mergeCell ref="D6:E6"/>
    <mergeCell ref="D7:E7"/>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E7727-FA2E-49D0-99C1-6B129B037407}">
  <sheetPr codeName="Sheet6"/>
  <dimension ref="A1:I59"/>
  <sheetViews>
    <sheetView workbookViewId="0">
      <selection activeCell="F4" sqref="F2:F4"/>
    </sheetView>
  </sheetViews>
  <sheetFormatPr defaultRowHeight="14.5" x14ac:dyDescent="0.35"/>
  <cols>
    <col min="1" max="1" width="23.453125" customWidth="1"/>
    <col min="2" max="2" width="30.1796875" bestFit="1" customWidth="1"/>
    <col min="4" max="4" width="29.81640625" bestFit="1" customWidth="1"/>
    <col min="6" max="6" width="17.453125" customWidth="1"/>
    <col min="8" max="8" width="23" bestFit="1" customWidth="1"/>
    <col min="9" max="9" width="12.453125" customWidth="1"/>
  </cols>
  <sheetData>
    <row r="1" spans="1:9" x14ac:dyDescent="0.35">
      <c r="A1" s="12" t="s">
        <v>8</v>
      </c>
      <c r="B1" s="13" t="s">
        <v>9</v>
      </c>
      <c r="C1" s="1"/>
      <c r="D1" s="17" t="s">
        <v>2</v>
      </c>
      <c r="F1" s="17" t="s">
        <v>32</v>
      </c>
      <c r="H1" s="17" t="s">
        <v>1</v>
      </c>
    </row>
    <row r="2" spans="1:9" x14ac:dyDescent="0.35">
      <c r="A2" s="8" t="s">
        <v>10</v>
      </c>
      <c r="B2" s="10" t="s">
        <v>11</v>
      </c>
      <c r="D2" s="16" t="s">
        <v>118</v>
      </c>
      <c r="F2" s="16" t="s">
        <v>33</v>
      </c>
      <c r="H2" s="16" t="s">
        <v>36</v>
      </c>
    </row>
    <row r="3" spans="1:9" x14ac:dyDescent="0.35">
      <c r="A3" s="8" t="s">
        <v>15</v>
      </c>
      <c r="B3" s="10" t="s">
        <v>19</v>
      </c>
      <c r="D3" s="16" t="s">
        <v>27</v>
      </c>
      <c r="F3" s="16" t="s">
        <v>34</v>
      </c>
      <c r="H3" s="16" t="s">
        <v>37</v>
      </c>
    </row>
    <row r="4" spans="1:9" x14ac:dyDescent="0.35">
      <c r="A4" s="8" t="s">
        <v>12</v>
      </c>
      <c r="B4" s="10" t="s">
        <v>18</v>
      </c>
      <c r="D4" s="16" t="s">
        <v>28</v>
      </c>
      <c r="F4" s="18" t="s">
        <v>35</v>
      </c>
      <c r="H4" s="16" t="s">
        <v>38</v>
      </c>
    </row>
    <row r="5" spans="1:9" x14ac:dyDescent="0.35">
      <c r="A5" s="8" t="s">
        <v>16</v>
      </c>
      <c r="B5" s="10" t="s">
        <v>20</v>
      </c>
      <c r="D5" s="16" t="s">
        <v>29</v>
      </c>
      <c r="H5" s="16" t="s">
        <v>39</v>
      </c>
    </row>
    <row r="6" spans="1:9" x14ac:dyDescent="0.35">
      <c r="A6" s="8" t="s">
        <v>13</v>
      </c>
      <c r="B6" s="10" t="s">
        <v>21</v>
      </c>
      <c r="D6" s="16" t="s">
        <v>30</v>
      </c>
      <c r="H6" s="18" t="s">
        <v>40</v>
      </c>
    </row>
    <row r="7" spans="1:9" x14ac:dyDescent="0.35">
      <c r="A7" s="8" t="s">
        <v>23</v>
      </c>
      <c r="B7" s="10" t="s">
        <v>22</v>
      </c>
      <c r="D7" s="16" t="s">
        <v>31</v>
      </c>
    </row>
    <row r="8" spans="1:9" x14ac:dyDescent="0.35">
      <c r="A8" s="8" t="s">
        <v>14</v>
      </c>
      <c r="B8" s="10" t="s">
        <v>24</v>
      </c>
      <c r="D8" s="16" t="s">
        <v>101</v>
      </c>
    </row>
    <row r="9" spans="1:9" x14ac:dyDescent="0.35">
      <c r="A9" s="8" t="s">
        <v>17</v>
      </c>
      <c r="B9" s="10" t="s">
        <v>25</v>
      </c>
      <c r="D9" s="18" t="s">
        <v>115</v>
      </c>
    </row>
    <row r="10" spans="1:9" x14ac:dyDescent="0.35">
      <c r="A10" s="15" t="s">
        <v>83</v>
      </c>
      <c r="B10" s="14" t="s">
        <v>82</v>
      </c>
      <c r="D10" s="18" t="s">
        <v>185</v>
      </c>
    </row>
    <row r="11" spans="1:9" x14ac:dyDescent="0.35">
      <c r="D11" s="18" t="s">
        <v>186</v>
      </c>
    </row>
    <row r="12" spans="1:9" x14ac:dyDescent="0.35">
      <c r="D12" s="18" t="s">
        <v>207</v>
      </c>
    </row>
    <row r="14" spans="1:9" x14ac:dyDescent="0.35">
      <c r="A14" s="12" t="s">
        <v>163</v>
      </c>
      <c r="B14" s="13" t="s">
        <v>41</v>
      </c>
      <c r="D14" s="17" t="s">
        <v>6</v>
      </c>
      <c r="F14" s="17" t="s">
        <v>3</v>
      </c>
      <c r="H14" s="12" t="s">
        <v>138</v>
      </c>
      <c r="I14" s="13" t="s">
        <v>139</v>
      </c>
    </row>
    <row r="15" spans="1:9" x14ac:dyDescent="0.35">
      <c r="A15" s="8" t="s">
        <v>54</v>
      </c>
      <c r="B15" s="10" t="s">
        <v>54</v>
      </c>
      <c r="D15" s="16" t="s">
        <v>72</v>
      </c>
      <c r="F15" s="16" t="s">
        <v>341</v>
      </c>
      <c r="H15" s="8">
        <v>1</v>
      </c>
      <c r="I15" s="10"/>
    </row>
    <row r="16" spans="1:9" x14ac:dyDescent="0.35">
      <c r="A16" s="8" t="s">
        <v>43</v>
      </c>
      <c r="B16" s="10" t="s">
        <v>57</v>
      </c>
      <c r="D16" s="16" t="s">
        <v>76</v>
      </c>
      <c r="F16" s="16" t="s">
        <v>89</v>
      </c>
      <c r="H16" s="8">
        <v>2</v>
      </c>
      <c r="I16" s="10"/>
    </row>
    <row r="17" spans="1:9" x14ac:dyDescent="0.35">
      <c r="A17" s="8" t="s">
        <v>45</v>
      </c>
      <c r="B17" s="10" t="s">
        <v>59</v>
      </c>
      <c r="D17" s="16" t="s">
        <v>183</v>
      </c>
      <c r="F17" s="18" t="s">
        <v>81</v>
      </c>
      <c r="H17" s="8">
        <v>3</v>
      </c>
      <c r="I17" s="10"/>
    </row>
    <row r="18" spans="1:9" x14ac:dyDescent="0.35">
      <c r="A18" s="8" t="s">
        <v>49</v>
      </c>
      <c r="B18" s="10" t="s">
        <v>63</v>
      </c>
      <c r="D18" s="16" t="s">
        <v>472</v>
      </c>
      <c r="F18" s="16" t="s">
        <v>88</v>
      </c>
      <c r="H18" s="8">
        <v>4</v>
      </c>
      <c r="I18" s="10"/>
    </row>
    <row r="19" spans="1:9" x14ac:dyDescent="0.35">
      <c r="A19" s="8" t="s">
        <v>55</v>
      </c>
      <c r="B19" s="10" t="s">
        <v>55</v>
      </c>
      <c r="D19" s="16" t="s">
        <v>92</v>
      </c>
      <c r="F19" s="16" t="s">
        <v>85</v>
      </c>
      <c r="H19" s="15">
        <v>5</v>
      </c>
      <c r="I19" s="14"/>
    </row>
    <row r="20" spans="1:9" x14ac:dyDescent="0.35">
      <c r="A20" s="8" t="s">
        <v>48</v>
      </c>
      <c r="B20" s="10" t="s">
        <v>62</v>
      </c>
      <c r="D20" s="16" t="s">
        <v>434</v>
      </c>
      <c r="F20" s="18" t="s">
        <v>87</v>
      </c>
    </row>
    <row r="21" spans="1:9" x14ac:dyDescent="0.35">
      <c r="A21" s="8" t="s">
        <v>50</v>
      </c>
      <c r="B21" s="10" t="s">
        <v>64</v>
      </c>
      <c r="D21" s="16" t="s">
        <v>120</v>
      </c>
      <c r="F21" s="18" t="s">
        <v>86</v>
      </c>
    </row>
    <row r="22" spans="1:9" x14ac:dyDescent="0.35">
      <c r="A22" s="8" t="s">
        <v>42</v>
      </c>
      <c r="B22" s="10" t="s">
        <v>56</v>
      </c>
      <c r="D22" s="16" t="s">
        <v>395</v>
      </c>
      <c r="F22" s="16"/>
    </row>
    <row r="23" spans="1:9" x14ac:dyDescent="0.35">
      <c r="A23" s="8" t="s">
        <v>162</v>
      </c>
      <c r="B23" s="10" t="s">
        <v>161</v>
      </c>
      <c r="D23" s="16" t="s">
        <v>337</v>
      </c>
    </row>
    <row r="24" spans="1:9" x14ac:dyDescent="0.35">
      <c r="A24" s="8" t="s">
        <v>53</v>
      </c>
      <c r="B24" s="10" t="s">
        <v>53</v>
      </c>
      <c r="D24" s="16" t="s">
        <v>93</v>
      </c>
    </row>
    <row r="25" spans="1:9" x14ac:dyDescent="0.35">
      <c r="A25" s="8" t="s">
        <v>210</v>
      </c>
      <c r="B25" s="10" t="s">
        <v>61</v>
      </c>
      <c r="D25" s="16" t="s">
        <v>448</v>
      </c>
    </row>
    <row r="26" spans="1:9" x14ac:dyDescent="0.35">
      <c r="A26" s="8" t="s">
        <v>47</v>
      </c>
      <c r="B26" s="10" t="s">
        <v>61</v>
      </c>
      <c r="D26" s="16" t="s">
        <v>73</v>
      </c>
    </row>
    <row r="27" spans="1:9" x14ac:dyDescent="0.35">
      <c r="A27" s="8" t="s">
        <v>52</v>
      </c>
      <c r="B27" s="10" t="s">
        <v>66</v>
      </c>
      <c r="D27" s="16" t="s">
        <v>400</v>
      </c>
    </row>
    <row r="28" spans="1:9" x14ac:dyDescent="0.35">
      <c r="A28" s="8" t="s">
        <v>44</v>
      </c>
      <c r="B28" s="10" t="s">
        <v>58</v>
      </c>
      <c r="D28" s="16" t="s">
        <v>68</v>
      </c>
    </row>
    <row r="29" spans="1:9" x14ac:dyDescent="0.35">
      <c r="A29" s="9" t="s">
        <v>51</v>
      </c>
      <c r="B29" s="11" t="s">
        <v>65</v>
      </c>
      <c r="D29" t="s">
        <v>441</v>
      </c>
    </row>
    <row r="30" spans="1:9" x14ac:dyDescent="0.35">
      <c r="A30" s="15" t="s">
        <v>81</v>
      </c>
      <c r="B30" s="14" t="s">
        <v>340</v>
      </c>
      <c r="D30" t="s">
        <v>130</v>
      </c>
    </row>
    <row r="31" spans="1:9" x14ac:dyDescent="0.35">
      <c r="A31" s="15" t="s">
        <v>46</v>
      </c>
      <c r="B31" s="14" t="s">
        <v>60</v>
      </c>
      <c r="D31" s="18" t="s">
        <v>325</v>
      </c>
    </row>
    <row r="32" spans="1:9" x14ac:dyDescent="0.35">
      <c r="D32" s="18" t="s">
        <v>75</v>
      </c>
    </row>
    <row r="33" spans="1:4" x14ac:dyDescent="0.35">
      <c r="D33" s="18" t="s">
        <v>467</v>
      </c>
    </row>
    <row r="34" spans="1:4" x14ac:dyDescent="0.35">
      <c r="A34" s="12" t="s">
        <v>163</v>
      </c>
      <c r="D34" s="18" t="s">
        <v>71</v>
      </c>
    </row>
    <row r="35" spans="1:4" x14ac:dyDescent="0.35">
      <c r="A35" s="8" t="s">
        <v>54</v>
      </c>
      <c r="D35" s="18" t="s">
        <v>70</v>
      </c>
    </row>
    <row r="36" spans="1:4" x14ac:dyDescent="0.35">
      <c r="A36" s="8" t="s">
        <v>43</v>
      </c>
      <c r="D36" s="18" t="s">
        <v>74</v>
      </c>
    </row>
    <row r="37" spans="1:4" x14ac:dyDescent="0.35">
      <c r="A37" s="8" t="s">
        <v>45</v>
      </c>
      <c r="D37" s="18" t="s">
        <v>67</v>
      </c>
    </row>
    <row r="38" spans="1:4" x14ac:dyDescent="0.35">
      <c r="A38" s="8" t="s">
        <v>49</v>
      </c>
      <c r="D38" s="18" t="s">
        <v>112</v>
      </c>
    </row>
    <row r="39" spans="1:4" x14ac:dyDescent="0.35">
      <c r="A39" s="8" t="s">
        <v>55</v>
      </c>
      <c r="D39" s="18" t="s">
        <v>69</v>
      </c>
    </row>
    <row r="40" spans="1:4" x14ac:dyDescent="0.35">
      <c r="A40" s="8" t="s">
        <v>48</v>
      </c>
      <c r="D40" s="18" t="s">
        <v>360</v>
      </c>
    </row>
    <row r="41" spans="1:4" x14ac:dyDescent="0.35">
      <c r="A41" s="8" t="s">
        <v>50</v>
      </c>
      <c r="D41" s="18" t="s">
        <v>429</v>
      </c>
    </row>
    <row r="42" spans="1:4" x14ac:dyDescent="0.35">
      <c r="A42" s="8" t="s">
        <v>42</v>
      </c>
    </row>
    <row r="43" spans="1:4" x14ac:dyDescent="0.35">
      <c r="A43" s="8" t="s">
        <v>162</v>
      </c>
    </row>
    <row r="44" spans="1:4" x14ac:dyDescent="0.35">
      <c r="A44" s="8" t="s">
        <v>53</v>
      </c>
    </row>
    <row r="45" spans="1:4" x14ac:dyDescent="0.35">
      <c r="A45" s="8" t="s">
        <v>210</v>
      </c>
    </row>
    <row r="46" spans="1:4" x14ac:dyDescent="0.35">
      <c r="A46" s="8" t="s">
        <v>47</v>
      </c>
    </row>
    <row r="47" spans="1:4" x14ac:dyDescent="0.35">
      <c r="A47" s="8" t="s">
        <v>52</v>
      </c>
    </row>
    <row r="48" spans="1:4" x14ac:dyDescent="0.35">
      <c r="A48" s="8" t="s">
        <v>44</v>
      </c>
    </row>
    <row r="49" spans="1:1" x14ac:dyDescent="0.35">
      <c r="A49" s="9" t="s">
        <v>51</v>
      </c>
    </row>
    <row r="50" spans="1:1" x14ac:dyDescent="0.35">
      <c r="A50" s="15" t="s">
        <v>81</v>
      </c>
    </row>
    <row r="51" spans="1:1" x14ac:dyDescent="0.35">
      <c r="A51" s="15" t="s">
        <v>46</v>
      </c>
    </row>
    <row r="54" spans="1:1" x14ac:dyDescent="0.35">
      <c r="A54" t="s">
        <v>495</v>
      </c>
    </row>
    <row r="56" spans="1:1" x14ac:dyDescent="0.35">
      <c r="A56" t="s">
        <v>492</v>
      </c>
    </row>
    <row r="57" spans="1:1" x14ac:dyDescent="0.35">
      <c r="A57" t="s">
        <v>496</v>
      </c>
    </row>
    <row r="58" spans="1:1" x14ac:dyDescent="0.35">
      <c r="A58" t="s">
        <v>497</v>
      </c>
    </row>
    <row r="59" spans="1:1" x14ac:dyDescent="0.35">
      <c r="A59" t="s">
        <v>498</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E177ABDA92C8040A9F50EF110F40D66" ma:contentTypeVersion="6" ma:contentTypeDescription="Create a new document." ma:contentTypeScope="" ma:versionID="89859d317f829b12a3579558643a80f6">
  <xsd:schema xmlns:xsd="http://www.w3.org/2001/XMLSchema" xmlns:xs="http://www.w3.org/2001/XMLSchema" xmlns:p="http://schemas.microsoft.com/office/2006/metadata/properties" xmlns:ns3="b3283935-be8e-4df8-a2a5-1f47bef8bea8" targetNamespace="http://schemas.microsoft.com/office/2006/metadata/properties" ma:root="true" ma:fieldsID="1a162df1733f2f6d1569bc52bcd45a59" ns3:_="">
    <xsd:import namespace="b3283935-be8e-4df8-a2a5-1f47bef8bea8"/>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3283935-be8e-4df8-a2a5-1f47bef8bea8"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b3283935-be8e-4df8-a2a5-1f47bef8bea8"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BD3B7C3-719A-40B6-A929-AB407737CF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3283935-be8e-4df8-a2a5-1f47bef8be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3D008B9-3AED-4851-8B67-F6FACC36987E}">
  <ds:schemaRefs>
    <ds:schemaRef ds:uri="b3283935-be8e-4df8-a2a5-1f47bef8bea8"/>
    <ds:schemaRef ds:uri="http://purl.org/dc/term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5DA71C88-758A-4F9D-88BA-F49F919E88D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Overview</vt:lpstr>
      <vt:lpstr>Summary Table</vt:lpstr>
      <vt:lpstr>Research Submission</vt:lpstr>
      <vt:lpstr>Master Dataset</vt:lpstr>
      <vt:lpstr>Field Dictionary</vt:lpstr>
      <vt:lpstr>Data Quality Dashboard</vt:lpstr>
      <vt:lpstr>Ranking Calculations</vt:lpstr>
      <vt:lpstr>Background 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Tener, Katie</dc:creator>
  <cp:lastModifiedBy>Tener, Katie</cp:lastModifiedBy>
  <dcterms:created xsi:type="dcterms:W3CDTF">2025-02-26T11:01:57Z</dcterms:created>
  <dcterms:modified xsi:type="dcterms:W3CDTF">2025-08-26T10:45:34Z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0x0101000E177ABDA92C8040A9F50EF110F40D66</vt:lpwstr>
  </property>
</Properties>
</file>